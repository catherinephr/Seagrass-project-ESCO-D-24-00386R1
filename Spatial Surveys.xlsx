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CatherinePHR\Documents\TESIS\R\DATA_SEAGRASS_2023\"/>
    </mc:Choice>
  </mc:AlternateContent>
  <xr:revisionPtr revIDLastSave="0" documentId="13_ncr:1_{99A41D2A-0DF0-4882-AC0C-599801E537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Hoja2" sheetId="3" r:id="rId2"/>
    <sheet name="Hoja1" sheetId="2" r:id="rId3"/>
    <sheet name="Hoja3" sheetId="4" r:id="rId4"/>
  </sheets>
  <definedNames>
    <definedName name="_xlnm._FilterDatabase" localSheetId="0" hidden="1">Sheet1!$L$1:$L$1000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L37" i="1"/>
  <c r="Q37" i="1"/>
  <c r="N20" i="3" l="1"/>
  <c r="O20" i="3"/>
  <c r="P20" i="3"/>
  <c r="M20" i="3"/>
  <c r="N19" i="3"/>
  <c r="O19" i="3"/>
  <c r="P19" i="3"/>
  <c r="M19" i="3"/>
  <c r="I22" i="3"/>
  <c r="I23" i="3"/>
</calcChain>
</file>

<file path=xl/sharedStrings.xml><?xml version="1.0" encoding="utf-8"?>
<sst xmlns="http://schemas.openxmlformats.org/spreadsheetml/2006/main" count="385" uniqueCount="78">
  <si>
    <t>Site</t>
  </si>
  <si>
    <t>Survey</t>
  </si>
  <si>
    <t>Date</t>
  </si>
  <si>
    <t>Time</t>
  </si>
  <si>
    <t>GPS</t>
  </si>
  <si>
    <t>Depth (m)</t>
  </si>
  <si>
    <t>Temperature</t>
  </si>
  <si>
    <t>Salinity (PSU)</t>
  </si>
  <si>
    <t>DO (mg/L)</t>
  </si>
  <si>
    <t>mV</t>
  </si>
  <si>
    <t>Bottle</t>
  </si>
  <si>
    <t>Magueyes</t>
  </si>
  <si>
    <t>Morning</t>
  </si>
  <si>
    <t>M1</t>
  </si>
  <si>
    <t>C-32</t>
  </si>
  <si>
    <t>M2</t>
  </si>
  <si>
    <t>C-7</t>
  </si>
  <si>
    <t>M3</t>
  </si>
  <si>
    <t>C-6</t>
  </si>
  <si>
    <t>M4</t>
  </si>
  <si>
    <t>C-10</t>
  </si>
  <si>
    <t>M5</t>
  </si>
  <si>
    <t>C-22</t>
  </si>
  <si>
    <t>M6</t>
  </si>
  <si>
    <t>C-33</t>
  </si>
  <si>
    <t>M7</t>
  </si>
  <si>
    <t>C-4</t>
  </si>
  <si>
    <t>M8</t>
  </si>
  <si>
    <t>C-12</t>
  </si>
  <si>
    <t>C-15</t>
  </si>
  <si>
    <t>C-2</t>
  </si>
  <si>
    <t>C-1</t>
  </si>
  <si>
    <t>C-28</t>
  </si>
  <si>
    <t>C-14</t>
  </si>
  <si>
    <t>C-18</t>
  </si>
  <si>
    <t>C-13</t>
  </si>
  <si>
    <t>C-11</t>
  </si>
  <si>
    <t>Instrument</t>
  </si>
  <si>
    <t>C-25</t>
  </si>
  <si>
    <t>L1</t>
  </si>
  <si>
    <t>C-36</t>
  </si>
  <si>
    <t>L2</t>
  </si>
  <si>
    <t>C-3</t>
  </si>
  <si>
    <t>L3</t>
  </si>
  <si>
    <t>C-31</t>
  </si>
  <si>
    <t>L4</t>
  </si>
  <si>
    <t>C-8</t>
  </si>
  <si>
    <t>L5</t>
  </si>
  <si>
    <t>C-34</t>
  </si>
  <si>
    <t>L6</t>
  </si>
  <si>
    <t>C-19</t>
  </si>
  <si>
    <t>NEW L7</t>
  </si>
  <si>
    <t>C-9</t>
  </si>
  <si>
    <t>NEW L8</t>
  </si>
  <si>
    <t>C-24</t>
  </si>
  <si>
    <t>NEW L9</t>
  </si>
  <si>
    <t>C-16</t>
  </si>
  <si>
    <t>C-20</t>
  </si>
  <si>
    <t>C-5</t>
  </si>
  <si>
    <t>Pink Tape</t>
  </si>
  <si>
    <t>C-21</t>
  </si>
  <si>
    <t>C-17</t>
  </si>
  <si>
    <t>C-30</t>
  </si>
  <si>
    <t>C-29</t>
  </si>
  <si>
    <t>C-23</t>
  </si>
  <si>
    <t>C-26</t>
  </si>
  <si>
    <t>DIC</t>
  </si>
  <si>
    <t>Heading</t>
  </si>
  <si>
    <t>Velocity-N</t>
  </si>
  <si>
    <t xml:space="preserve">Velocity-E </t>
  </si>
  <si>
    <t>Speed</t>
  </si>
  <si>
    <t>TA</t>
  </si>
  <si>
    <t>Laurel</t>
  </si>
  <si>
    <t>Afternoon</t>
  </si>
  <si>
    <t>pH1</t>
  </si>
  <si>
    <t xml:space="preserve">pH_T </t>
  </si>
  <si>
    <t>nTA</t>
  </si>
  <si>
    <t>nDIC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</si>
</sst>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yy"/>
    <numFmt numFmtId="165" formatCode="h&quot;:&quot;mm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" xfId="0" applyBorder="1"/>
    <xf numFmtId="2" fontId="0" fillId="0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topLeftCell="F1" workbookViewId="0">
      <selection activeCell="S2" sqref="S2"/>
    </sheetView>
  </sheetViews>
  <sheetFormatPr baseColWidth="10" defaultColWidth="12.6640625" defaultRowHeight="15.75" customHeight="1" x14ac:dyDescent="0.25"/>
  <cols>
    <col min="13" max="13" width="12" bestFit="1" customWidth="1"/>
  </cols>
  <sheetData>
    <row r="1" spans="1:20" ht="15.75" customHeight="1" thickBo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66</v>
      </c>
      <c r="M1" s="23" t="s">
        <v>70</v>
      </c>
      <c r="N1" s="23" t="s">
        <v>67</v>
      </c>
      <c r="O1" s="23" t="s">
        <v>68</v>
      </c>
      <c r="P1" s="23" t="s">
        <v>69</v>
      </c>
      <c r="Q1" s="40" t="s">
        <v>71</v>
      </c>
      <c r="R1" s="44" t="s">
        <v>75</v>
      </c>
      <c r="S1" s="46" t="s">
        <v>76</v>
      </c>
      <c r="T1" s="46" t="s">
        <v>77</v>
      </c>
    </row>
    <row r="2" spans="1:20" ht="15.75" customHeight="1" x14ac:dyDescent="0.3">
      <c r="A2" s="24" t="s">
        <v>11</v>
      </c>
      <c r="B2" s="25" t="s">
        <v>12</v>
      </c>
      <c r="C2" s="26">
        <v>45131</v>
      </c>
      <c r="D2" s="27">
        <v>0.28611111111111115</v>
      </c>
      <c r="E2" s="25" t="s">
        <v>13</v>
      </c>
      <c r="F2" s="25">
        <v>0.27</v>
      </c>
      <c r="G2" s="25">
        <v>29.99</v>
      </c>
      <c r="H2" s="25">
        <v>34.72</v>
      </c>
      <c r="I2" s="25">
        <v>5.88</v>
      </c>
      <c r="J2" s="25">
        <v>-52.99</v>
      </c>
      <c r="K2" s="25" t="s">
        <v>14</v>
      </c>
      <c r="L2" s="28">
        <v>2041.2653880931346</v>
      </c>
      <c r="M2" s="29">
        <v>0.51</v>
      </c>
      <c r="N2" s="29">
        <v>305.89</v>
      </c>
      <c r="O2" s="29">
        <v>0.3</v>
      </c>
      <c r="P2" s="29">
        <v>-0.42</v>
      </c>
      <c r="Q2" s="42">
        <v>2334.6</v>
      </c>
      <c r="R2" s="45">
        <v>8.1309810000000002</v>
      </c>
      <c r="S2">
        <f>Q5</f>
        <v>2343.4</v>
      </c>
    </row>
    <row r="3" spans="1:20" ht="15.75" customHeight="1" x14ac:dyDescent="0.3">
      <c r="A3" s="30" t="s">
        <v>11</v>
      </c>
      <c r="B3" s="14" t="s">
        <v>12</v>
      </c>
      <c r="C3" s="15">
        <v>45131</v>
      </c>
      <c r="D3" s="16">
        <v>0.28750000000000003</v>
      </c>
      <c r="E3" s="14" t="s">
        <v>15</v>
      </c>
      <c r="F3" s="14">
        <v>0.32</v>
      </c>
      <c r="G3" s="14">
        <v>29.91</v>
      </c>
      <c r="H3" s="14">
        <v>34.770000000000003</v>
      </c>
      <c r="I3" s="14">
        <v>5.36</v>
      </c>
      <c r="J3" s="14">
        <v>-58.46</v>
      </c>
      <c r="K3" s="14" t="s">
        <v>16</v>
      </c>
      <c r="L3" s="19">
        <v>2064.7680694168789</v>
      </c>
      <c r="M3" s="18">
        <v>0.51</v>
      </c>
      <c r="N3" s="18">
        <v>305.89</v>
      </c>
      <c r="O3" s="18">
        <v>0.3</v>
      </c>
      <c r="P3" s="18">
        <v>-0.42</v>
      </c>
      <c r="Q3" s="42">
        <v>2339.6999999999998</v>
      </c>
      <c r="R3" s="45">
        <v>8.0958199999999998</v>
      </c>
    </row>
    <row r="4" spans="1:20" ht="15.75" customHeight="1" x14ac:dyDescent="0.3">
      <c r="A4" s="30" t="s">
        <v>11</v>
      </c>
      <c r="B4" s="14" t="s">
        <v>12</v>
      </c>
      <c r="C4" s="15">
        <v>45131</v>
      </c>
      <c r="D4" s="16">
        <v>0.28958333333333336</v>
      </c>
      <c r="E4" s="14" t="s">
        <v>17</v>
      </c>
      <c r="F4" s="14">
        <v>0.27700000000000002</v>
      </c>
      <c r="G4" s="14">
        <v>29.97</v>
      </c>
      <c r="H4" s="14">
        <v>34.5</v>
      </c>
      <c r="I4" s="14">
        <v>5.96</v>
      </c>
      <c r="J4" s="14">
        <v>-57.92</v>
      </c>
      <c r="K4" s="14" t="s">
        <v>18</v>
      </c>
      <c r="L4" s="19">
        <v>2031.3457229158591</v>
      </c>
      <c r="M4" s="18">
        <v>0.51</v>
      </c>
      <c r="N4" s="18">
        <v>305.89</v>
      </c>
      <c r="O4" s="18">
        <v>0.3</v>
      </c>
      <c r="P4" s="18">
        <v>-0.42</v>
      </c>
      <c r="Q4" s="42">
        <v>2325.6999999999998</v>
      </c>
      <c r="R4" s="45">
        <v>8.1374209999999998</v>
      </c>
    </row>
    <row r="5" spans="1:20" ht="15.75" customHeight="1" x14ac:dyDescent="0.3">
      <c r="A5" s="31" t="s">
        <v>11</v>
      </c>
      <c r="B5" s="3" t="s">
        <v>12</v>
      </c>
      <c r="C5" s="4">
        <v>45131</v>
      </c>
      <c r="D5" s="5">
        <v>0.29166666666666669</v>
      </c>
      <c r="E5" s="3" t="s">
        <v>19</v>
      </c>
      <c r="F5" s="3">
        <v>0.28399999999999997</v>
      </c>
      <c r="G5" s="3">
        <v>30.03</v>
      </c>
      <c r="H5" s="3">
        <v>34.4</v>
      </c>
      <c r="I5" s="3">
        <v>5.67</v>
      </c>
      <c r="J5" s="3">
        <v>-61.24</v>
      </c>
      <c r="K5" s="3" t="s">
        <v>20</v>
      </c>
      <c r="L5" s="20">
        <v>2054.3121265025752</v>
      </c>
      <c r="M5" s="6">
        <v>0.76</v>
      </c>
      <c r="N5" s="6">
        <v>340.03</v>
      </c>
      <c r="O5" s="6">
        <v>0.71</v>
      </c>
      <c r="P5" s="6">
        <v>-0.26</v>
      </c>
      <c r="Q5" s="42">
        <v>2343.4</v>
      </c>
      <c r="R5" s="45">
        <v>8.123564</v>
      </c>
    </row>
    <row r="6" spans="1:20" ht="15.75" customHeight="1" x14ac:dyDescent="0.3">
      <c r="A6" s="30" t="s">
        <v>11</v>
      </c>
      <c r="B6" s="14" t="s">
        <v>12</v>
      </c>
      <c r="C6" s="15">
        <v>45131</v>
      </c>
      <c r="D6" s="16">
        <v>0.29305555555555557</v>
      </c>
      <c r="E6" s="14" t="s">
        <v>21</v>
      </c>
      <c r="F6" s="14">
        <v>0.38400000000000001</v>
      </c>
      <c r="G6" s="14">
        <v>29.95</v>
      </c>
      <c r="H6" s="14">
        <v>34.57</v>
      </c>
      <c r="I6" s="14">
        <v>5.48</v>
      </c>
      <c r="J6" s="14">
        <v>-62.28</v>
      </c>
      <c r="K6" s="14" t="s">
        <v>22</v>
      </c>
      <c r="L6" s="17">
        <v>2088.0187693722582</v>
      </c>
      <c r="M6" s="18">
        <v>0.76</v>
      </c>
      <c r="N6" s="18">
        <v>340.03</v>
      </c>
      <c r="O6" s="18">
        <v>0.71</v>
      </c>
      <c r="P6" s="18">
        <v>-0.26</v>
      </c>
      <c r="Q6" s="42">
        <v>2345</v>
      </c>
      <c r="R6" s="45">
        <v>8.060943</v>
      </c>
    </row>
    <row r="7" spans="1:20" ht="15.75" customHeight="1" x14ac:dyDescent="0.3">
      <c r="A7" s="30" t="s">
        <v>11</v>
      </c>
      <c r="B7" s="14" t="s">
        <v>12</v>
      </c>
      <c r="C7" s="15">
        <v>45131</v>
      </c>
      <c r="D7" s="16">
        <v>0.2951388888888889</v>
      </c>
      <c r="E7" s="14" t="s">
        <v>23</v>
      </c>
      <c r="F7" s="14">
        <v>0.23</v>
      </c>
      <c r="G7" s="14">
        <v>29.6</v>
      </c>
      <c r="H7" s="14">
        <v>34.69</v>
      </c>
      <c r="I7" s="14">
        <v>5.47</v>
      </c>
      <c r="J7" s="14">
        <v>-58.15</v>
      </c>
      <c r="K7" s="14" t="s">
        <v>24</v>
      </c>
      <c r="L7" s="19">
        <v>2078.3950335700583</v>
      </c>
      <c r="M7" s="18">
        <v>0.76</v>
      </c>
      <c r="N7" s="18">
        <v>340.03</v>
      </c>
      <c r="O7" s="18">
        <v>0.71</v>
      </c>
      <c r="P7" s="18">
        <v>-0.26</v>
      </c>
      <c r="Q7" s="42">
        <v>2340.1999999999998</v>
      </c>
      <c r="R7" s="45">
        <v>8.0757429999999992</v>
      </c>
    </row>
    <row r="8" spans="1:20" ht="15.75" customHeight="1" x14ac:dyDescent="0.3">
      <c r="A8" s="30" t="s">
        <v>11</v>
      </c>
      <c r="B8" s="14" t="s">
        <v>12</v>
      </c>
      <c r="C8" s="15">
        <v>45131</v>
      </c>
      <c r="D8" s="16">
        <v>0.29791666666666666</v>
      </c>
      <c r="E8" s="14" t="s">
        <v>25</v>
      </c>
      <c r="F8" s="14">
        <v>0.29399999999999998</v>
      </c>
      <c r="G8" s="14">
        <v>29.93</v>
      </c>
      <c r="H8" s="14">
        <v>34.450000000000003</v>
      </c>
      <c r="I8" s="14">
        <v>6.09</v>
      </c>
      <c r="J8" s="14">
        <v>-58.25</v>
      </c>
      <c r="K8" s="14" t="s">
        <v>26</v>
      </c>
      <c r="L8" s="19">
        <v>2029.0737561510784</v>
      </c>
      <c r="M8" s="18">
        <v>0.38</v>
      </c>
      <c r="N8" s="18">
        <v>291.7</v>
      </c>
      <c r="O8" s="18">
        <v>0.14000000000000001</v>
      </c>
      <c r="P8" s="18">
        <v>-0.36</v>
      </c>
      <c r="Q8" s="42">
        <v>2332.1</v>
      </c>
      <c r="R8" s="45">
        <v>8.1529779999999992</v>
      </c>
    </row>
    <row r="9" spans="1:20" ht="15.75" customHeight="1" thickBot="1" x14ac:dyDescent="0.35">
      <c r="A9" s="32" t="s">
        <v>11</v>
      </c>
      <c r="B9" s="33" t="s">
        <v>12</v>
      </c>
      <c r="C9" s="34">
        <v>45131</v>
      </c>
      <c r="D9" s="35">
        <v>0.29930555555555555</v>
      </c>
      <c r="E9" s="33" t="s">
        <v>27</v>
      </c>
      <c r="F9" s="33">
        <v>0.25800000000000001</v>
      </c>
      <c r="G9" s="33">
        <v>29.87</v>
      </c>
      <c r="H9" s="33">
        <v>34.47</v>
      </c>
      <c r="I9" s="33">
        <v>6.35</v>
      </c>
      <c r="J9" s="33">
        <v>-60.89</v>
      </c>
      <c r="K9" s="33" t="s">
        <v>28</v>
      </c>
      <c r="L9" s="36">
        <v>2013.6717291678406</v>
      </c>
      <c r="M9" s="37">
        <v>0.38</v>
      </c>
      <c r="N9" s="37">
        <v>291.7</v>
      </c>
      <c r="O9" s="37">
        <v>0.14000000000000001</v>
      </c>
      <c r="P9" s="37">
        <v>-0.36</v>
      </c>
      <c r="Q9" s="42">
        <v>2316.8000000000002</v>
      </c>
      <c r="R9" s="45">
        <v>8.1575469999999992</v>
      </c>
    </row>
    <row r="10" spans="1:20" ht="15.75" customHeight="1" thickBot="1" x14ac:dyDescent="0.35">
      <c r="A10" s="32" t="s">
        <v>11</v>
      </c>
      <c r="B10" s="33" t="s">
        <v>73</v>
      </c>
      <c r="C10" s="26">
        <v>45131</v>
      </c>
      <c r="D10" s="27">
        <v>9.9999999999999992E-2</v>
      </c>
      <c r="E10" s="25" t="s">
        <v>13</v>
      </c>
      <c r="F10" s="25">
        <v>0.16600000000000001</v>
      </c>
      <c r="G10" s="25">
        <v>31.05</v>
      </c>
      <c r="H10" s="25">
        <v>34.090000000000003</v>
      </c>
      <c r="I10" s="25">
        <v>6.82</v>
      </c>
      <c r="J10" s="25">
        <v>-47.87</v>
      </c>
      <c r="K10" s="25" t="s">
        <v>29</v>
      </c>
      <c r="L10" s="38">
        <v>1995.4373978077426</v>
      </c>
      <c r="M10" s="29">
        <v>0.47</v>
      </c>
      <c r="N10" s="29">
        <v>158.72</v>
      </c>
      <c r="O10" s="29">
        <v>-0.44</v>
      </c>
      <c r="P10" s="29">
        <v>0.17</v>
      </c>
      <c r="Q10" s="42">
        <v>2331.4</v>
      </c>
      <c r="R10" s="45">
        <v>8.1981809999999999</v>
      </c>
    </row>
    <row r="11" spans="1:20" ht="15.75" customHeight="1" thickBot="1" x14ac:dyDescent="0.35">
      <c r="A11" s="32" t="s">
        <v>11</v>
      </c>
      <c r="B11" s="33" t="s">
        <v>73</v>
      </c>
      <c r="C11" s="15">
        <v>45131</v>
      </c>
      <c r="D11" s="16">
        <v>0.10208333333333335</v>
      </c>
      <c r="E11" s="14" t="s">
        <v>15</v>
      </c>
      <c r="F11" s="14">
        <v>0.14499999999999999</v>
      </c>
      <c r="G11" s="14">
        <v>31.22</v>
      </c>
      <c r="H11" s="14">
        <v>34.229999999999997</v>
      </c>
      <c r="I11" s="14">
        <v>8.07</v>
      </c>
      <c r="J11" s="14">
        <v>-58.91</v>
      </c>
      <c r="K11" s="14" t="s">
        <v>30</v>
      </c>
      <c r="L11" s="19">
        <v>1983.9248828210286</v>
      </c>
      <c r="M11" s="18">
        <v>0.47</v>
      </c>
      <c r="N11" s="18">
        <v>158.72</v>
      </c>
      <c r="O11" s="18">
        <v>-0.44</v>
      </c>
      <c r="P11" s="18">
        <v>0.17</v>
      </c>
      <c r="Q11" s="42">
        <v>2319.4</v>
      </c>
      <c r="R11" s="45">
        <v>8.1963519999999992</v>
      </c>
    </row>
    <row r="12" spans="1:20" ht="15.75" customHeight="1" thickBot="1" x14ac:dyDescent="0.35">
      <c r="A12" s="32" t="s">
        <v>11</v>
      </c>
      <c r="B12" s="33" t="s">
        <v>73</v>
      </c>
      <c r="C12" s="15">
        <v>45131</v>
      </c>
      <c r="D12" s="16">
        <v>0.10416666666666667</v>
      </c>
      <c r="E12" s="14" t="s">
        <v>17</v>
      </c>
      <c r="F12" s="14">
        <v>0.26200000000000001</v>
      </c>
      <c r="G12" s="14">
        <v>30.68</v>
      </c>
      <c r="H12" s="14">
        <v>34.200000000000003</v>
      </c>
      <c r="I12" s="14">
        <v>6.87</v>
      </c>
      <c r="J12" s="14">
        <v>-60.91</v>
      </c>
      <c r="K12" s="14" t="s">
        <v>31</v>
      </c>
      <c r="L12" s="19">
        <v>2007.7905995672613</v>
      </c>
      <c r="M12" s="18">
        <v>0.47</v>
      </c>
      <c r="N12" s="18">
        <v>158.72</v>
      </c>
      <c r="O12" s="18">
        <v>-0.44</v>
      </c>
      <c r="P12" s="18">
        <v>0.17</v>
      </c>
      <c r="Q12" s="42">
        <v>2323</v>
      </c>
      <c r="R12" s="45">
        <v>8.1682059999999996</v>
      </c>
    </row>
    <row r="13" spans="1:20" ht="15.75" customHeight="1" thickBot="1" x14ac:dyDescent="0.35">
      <c r="A13" s="32" t="s">
        <v>11</v>
      </c>
      <c r="B13" s="33" t="s">
        <v>73</v>
      </c>
      <c r="C13" s="4">
        <v>45131</v>
      </c>
      <c r="D13" s="5">
        <v>0.10555555555555556</v>
      </c>
      <c r="E13" s="3" t="s">
        <v>19</v>
      </c>
      <c r="F13" s="3">
        <v>0.248</v>
      </c>
      <c r="G13" s="3">
        <v>30.99</v>
      </c>
      <c r="H13" s="3">
        <v>34.200000000000003</v>
      </c>
      <c r="I13" s="3">
        <v>7.5</v>
      </c>
      <c r="J13" s="3">
        <v>-60.29</v>
      </c>
      <c r="K13" s="3" t="s">
        <v>32</v>
      </c>
      <c r="L13" s="7">
        <v>1966.1485007858666</v>
      </c>
      <c r="M13" s="6">
        <v>0.38</v>
      </c>
      <c r="N13" s="6">
        <v>160.27000000000001</v>
      </c>
      <c r="O13" s="6">
        <v>-0.36</v>
      </c>
      <c r="P13" s="6">
        <v>0.13</v>
      </c>
      <c r="Q13" s="42">
        <v>2320.1</v>
      </c>
      <c r="R13" s="45">
        <v>8.2316950000000002</v>
      </c>
    </row>
    <row r="14" spans="1:20" ht="15.75" customHeight="1" thickBot="1" x14ac:dyDescent="0.35">
      <c r="A14" s="32" t="s">
        <v>11</v>
      </c>
      <c r="B14" s="33" t="s">
        <v>73</v>
      </c>
      <c r="C14" s="15">
        <v>45131</v>
      </c>
      <c r="D14" s="16">
        <v>0.10625</v>
      </c>
      <c r="E14" s="14" t="s">
        <v>21</v>
      </c>
      <c r="F14" s="14">
        <v>0.21099999999999999</v>
      </c>
      <c r="G14" s="14">
        <v>31.53</v>
      </c>
      <c r="H14" s="14">
        <v>34.31</v>
      </c>
      <c r="I14" s="14">
        <v>8.1999999999999993</v>
      </c>
      <c r="J14" s="14">
        <v>-63.95</v>
      </c>
      <c r="K14" s="14" t="s">
        <v>33</v>
      </c>
      <c r="L14" s="19">
        <v>1949.4835903515841</v>
      </c>
      <c r="M14" s="18">
        <v>0.38</v>
      </c>
      <c r="N14" s="18">
        <v>160.27000000000001</v>
      </c>
      <c r="O14" s="18">
        <v>-0.36</v>
      </c>
      <c r="P14" s="18">
        <v>0.13</v>
      </c>
      <c r="Q14" s="42">
        <v>2316.6999999999998</v>
      </c>
      <c r="R14" s="45">
        <v>8.2455390000000008</v>
      </c>
    </row>
    <row r="15" spans="1:20" ht="15.75" customHeight="1" thickBot="1" x14ac:dyDescent="0.35">
      <c r="A15" s="32" t="s">
        <v>11</v>
      </c>
      <c r="B15" s="33" t="s">
        <v>73</v>
      </c>
      <c r="C15" s="15">
        <v>45131</v>
      </c>
      <c r="D15" s="16">
        <v>0.10833333333333334</v>
      </c>
      <c r="E15" s="14" t="s">
        <v>23</v>
      </c>
      <c r="F15" s="14">
        <v>0.20200000000000001</v>
      </c>
      <c r="G15" s="14">
        <v>31.12</v>
      </c>
      <c r="H15" s="14">
        <v>34.36</v>
      </c>
      <c r="I15" s="14">
        <v>8.25</v>
      </c>
      <c r="J15" s="14">
        <v>-62.77</v>
      </c>
      <c r="K15" s="14" t="s">
        <v>34</v>
      </c>
      <c r="L15" s="19">
        <v>1952.3559897214284</v>
      </c>
      <c r="M15" s="18">
        <v>0.38</v>
      </c>
      <c r="N15" s="18">
        <v>160.27000000000001</v>
      </c>
      <c r="O15" s="18">
        <v>-0.36</v>
      </c>
      <c r="P15" s="18">
        <v>0.13</v>
      </c>
      <c r="Q15" s="42">
        <v>2319.1</v>
      </c>
      <c r="R15" s="45">
        <v>8.2499040000000008</v>
      </c>
    </row>
    <row r="16" spans="1:20" ht="15.75" customHeight="1" thickBot="1" x14ac:dyDescent="0.35">
      <c r="A16" s="32" t="s">
        <v>11</v>
      </c>
      <c r="B16" s="33" t="s">
        <v>73</v>
      </c>
      <c r="C16" s="15">
        <v>45131</v>
      </c>
      <c r="D16" s="16">
        <v>0.11041666666666666</v>
      </c>
      <c r="E16" s="14" t="s">
        <v>25</v>
      </c>
      <c r="F16" s="14">
        <v>0.159</v>
      </c>
      <c r="G16" s="14">
        <v>30.55</v>
      </c>
      <c r="H16" s="14">
        <v>34.1</v>
      </c>
      <c r="I16" s="14">
        <v>6.56</v>
      </c>
      <c r="J16" s="14">
        <v>-68.55</v>
      </c>
      <c r="K16" s="14" t="s">
        <v>35</v>
      </c>
      <c r="L16" s="17">
        <v>2017.1116583758385</v>
      </c>
      <c r="M16" s="18">
        <v>0.38</v>
      </c>
      <c r="N16" s="18">
        <v>160.27000000000001</v>
      </c>
      <c r="O16" s="18">
        <v>-0.36</v>
      </c>
      <c r="P16" s="18">
        <v>0.13</v>
      </c>
      <c r="Q16" s="42">
        <v>2323.8000000000002</v>
      </c>
      <c r="R16" s="45">
        <v>8.1556440000000006</v>
      </c>
    </row>
    <row r="17" spans="1:18" ht="15.75" customHeight="1" thickBot="1" x14ac:dyDescent="0.35">
      <c r="A17" s="32" t="s">
        <v>11</v>
      </c>
      <c r="B17" s="33" t="s">
        <v>73</v>
      </c>
      <c r="C17" s="34">
        <v>45131</v>
      </c>
      <c r="D17" s="35">
        <v>0.11180555555555556</v>
      </c>
      <c r="E17" s="33" t="s">
        <v>27</v>
      </c>
      <c r="F17" s="33">
        <v>0.19</v>
      </c>
      <c r="G17" s="33">
        <v>30.89</v>
      </c>
      <c r="H17" s="33">
        <v>34.44</v>
      </c>
      <c r="I17" s="33">
        <v>7.5</v>
      </c>
      <c r="J17" s="33">
        <v>-59.34</v>
      </c>
      <c r="K17" s="33" t="s">
        <v>36</v>
      </c>
      <c r="L17" s="36">
        <v>1967.931900555654</v>
      </c>
      <c r="M17" s="37">
        <v>0.38</v>
      </c>
      <c r="N17" s="37">
        <v>160.27000000000001</v>
      </c>
      <c r="O17" s="37">
        <v>-0.36</v>
      </c>
      <c r="P17" s="37">
        <v>0.13</v>
      </c>
      <c r="Q17" s="42">
        <v>2314.9</v>
      </c>
      <c r="R17" s="45">
        <v>8.2202909999999996</v>
      </c>
    </row>
    <row r="18" spans="1:18" ht="15.75" customHeight="1" thickBot="1" x14ac:dyDescent="0.35">
      <c r="A18" s="32" t="s">
        <v>72</v>
      </c>
      <c r="B18" s="33" t="s">
        <v>12</v>
      </c>
      <c r="C18" s="26">
        <v>45131</v>
      </c>
      <c r="D18" s="27">
        <v>0.25347222222222221</v>
      </c>
      <c r="E18" s="25" t="s">
        <v>37</v>
      </c>
      <c r="F18" s="25">
        <v>0.23</v>
      </c>
      <c r="G18" s="25">
        <v>29.47</v>
      </c>
      <c r="H18" s="25">
        <v>34.26</v>
      </c>
      <c r="I18" s="25">
        <v>5.38</v>
      </c>
      <c r="J18" s="25">
        <v>-58.35</v>
      </c>
      <c r="K18" s="25" t="s">
        <v>38</v>
      </c>
      <c r="L18" s="38">
        <v>2043.1384442820108</v>
      </c>
      <c r="M18" s="29">
        <v>5.95</v>
      </c>
      <c r="N18" s="29">
        <v>273.75</v>
      </c>
      <c r="O18" s="29">
        <v>0.39</v>
      </c>
      <c r="P18" s="29">
        <v>-5.94</v>
      </c>
      <c r="Q18" s="42">
        <v>2306.4</v>
      </c>
      <c r="R18" s="45">
        <v>8.092352</v>
      </c>
    </row>
    <row r="19" spans="1:18" ht="15.75" customHeight="1" thickBot="1" x14ac:dyDescent="0.35">
      <c r="A19" s="32" t="s">
        <v>72</v>
      </c>
      <c r="B19" s="33" t="s">
        <v>12</v>
      </c>
      <c r="C19" s="15">
        <v>45131</v>
      </c>
      <c r="D19" s="16">
        <v>0.2590277777777778</v>
      </c>
      <c r="E19" s="14" t="s">
        <v>39</v>
      </c>
      <c r="F19" s="14">
        <v>0.33800000000000002</v>
      </c>
      <c r="G19" s="14">
        <v>29.61</v>
      </c>
      <c r="H19" s="14">
        <v>34.36</v>
      </c>
      <c r="I19" s="14">
        <v>5.88</v>
      </c>
      <c r="J19" s="14">
        <v>-59.83</v>
      </c>
      <c r="K19" s="14" t="s">
        <v>40</v>
      </c>
      <c r="L19" s="19">
        <v>2021.4954134233765</v>
      </c>
      <c r="M19" s="18">
        <v>6.21</v>
      </c>
      <c r="N19" s="18">
        <v>267.38</v>
      </c>
      <c r="O19" s="18">
        <v>-0.28000000000000003</v>
      </c>
      <c r="P19" s="18">
        <v>-6.2</v>
      </c>
      <c r="Q19" s="42">
        <v>2305.4</v>
      </c>
      <c r="R19" s="45">
        <v>8.1294330000000006</v>
      </c>
    </row>
    <row r="20" spans="1:18" ht="15.75" customHeight="1" thickBot="1" x14ac:dyDescent="0.35">
      <c r="A20" s="32" t="s">
        <v>72</v>
      </c>
      <c r="B20" s="33" t="s">
        <v>12</v>
      </c>
      <c r="C20" s="15">
        <v>45131</v>
      </c>
      <c r="D20" s="16">
        <v>0.26180555555555557</v>
      </c>
      <c r="E20" s="14" t="s">
        <v>41</v>
      </c>
      <c r="F20" s="14">
        <v>0.27</v>
      </c>
      <c r="G20" s="14">
        <v>29.35</v>
      </c>
      <c r="H20" s="14">
        <v>34.380000000000003</v>
      </c>
      <c r="I20" s="14">
        <v>5.72</v>
      </c>
      <c r="J20" s="14">
        <v>-51.41</v>
      </c>
      <c r="K20" s="14" t="s">
        <v>42</v>
      </c>
      <c r="L20" s="19">
        <v>2030.7324156143534</v>
      </c>
      <c r="M20" s="18">
        <v>6.21</v>
      </c>
      <c r="N20" s="18">
        <v>267.38</v>
      </c>
      <c r="O20" s="18">
        <v>-0.28000000000000003</v>
      </c>
      <c r="P20" s="18">
        <v>-6.2</v>
      </c>
      <c r="Q20" s="42">
        <v>2308</v>
      </c>
      <c r="R20" s="45">
        <v>8.1199460000000006</v>
      </c>
    </row>
    <row r="21" spans="1:18" ht="15.75" customHeight="1" thickBot="1" x14ac:dyDescent="0.35">
      <c r="A21" s="32" t="s">
        <v>72</v>
      </c>
      <c r="B21" s="33" t="s">
        <v>12</v>
      </c>
      <c r="C21" s="15">
        <v>45131</v>
      </c>
      <c r="D21" s="16">
        <v>0.26319444444444445</v>
      </c>
      <c r="E21" s="14" t="s">
        <v>43</v>
      </c>
      <c r="F21" s="14">
        <v>0.152</v>
      </c>
      <c r="G21" s="14">
        <v>29.1</v>
      </c>
      <c r="H21" s="14">
        <v>34.299999999999997</v>
      </c>
      <c r="I21" s="14">
        <v>5.0999999999999996</v>
      </c>
      <c r="J21" s="14">
        <v>-57.58</v>
      </c>
      <c r="K21" s="14" t="s">
        <v>44</v>
      </c>
      <c r="L21" s="19">
        <v>2059.028703954973</v>
      </c>
      <c r="M21" s="18">
        <v>6.21</v>
      </c>
      <c r="N21" s="18">
        <v>267.38</v>
      </c>
      <c r="O21" s="18">
        <v>-0.28000000000000003</v>
      </c>
      <c r="P21" s="18">
        <v>-6.2</v>
      </c>
      <c r="Q21" s="42">
        <v>2309.4</v>
      </c>
      <c r="R21" s="45">
        <v>8.0711359999999992</v>
      </c>
    </row>
    <row r="22" spans="1:18" ht="15.75" customHeight="1" thickBot="1" x14ac:dyDescent="0.35">
      <c r="A22" s="32" t="s">
        <v>72</v>
      </c>
      <c r="B22" s="33" t="s">
        <v>12</v>
      </c>
      <c r="C22" s="15">
        <v>45131</v>
      </c>
      <c r="D22" s="16">
        <v>0.26597222222222222</v>
      </c>
      <c r="E22" s="14" t="s">
        <v>45</v>
      </c>
      <c r="F22" s="14">
        <v>0.27200000000000002</v>
      </c>
      <c r="G22" s="14">
        <v>29.33</v>
      </c>
      <c r="H22" s="14">
        <v>34.380000000000003</v>
      </c>
      <c r="I22" s="14">
        <v>5.29</v>
      </c>
      <c r="J22" s="14">
        <v>-56.34</v>
      </c>
      <c r="K22" s="14" t="s">
        <v>46</v>
      </c>
      <c r="L22" s="17">
        <v>2050.8481005679714</v>
      </c>
      <c r="M22" s="18">
        <v>6.02</v>
      </c>
      <c r="N22" s="18">
        <v>264.2</v>
      </c>
      <c r="O22" s="18">
        <v>-0.61</v>
      </c>
      <c r="P22" s="18">
        <v>-5.99</v>
      </c>
      <c r="Q22" s="42">
        <v>2306.6</v>
      </c>
      <c r="R22" s="45">
        <v>8.0782889999999998</v>
      </c>
    </row>
    <row r="23" spans="1:18" ht="15.75" customHeight="1" thickBot="1" x14ac:dyDescent="0.35">
      <c r="A23" s="32" t="s">
        <v>72</v>
      </c>
      <c r="B23" s="33" t="s">
        <v>12</v>
      </c>
      <c r="C23" s="9">
        <v>45131</v>
      </c>
      <c r="D23" s="10">
        <v>0.26944444444444443</v>
      </c>
      <c r="E23" s="8" t="s">
        <v>47</v>
      </c>
      <c r="F23" s="8">
        <v>0.24299999999999999</v>
      </c>
      <c r="G23" s="8">
        <v>29</v>
      </c>
      <c r="H23" s="41">
        <v>34.53</v>
      </c>
      <c r="I23" s="8">
        <v>5.56</v>
      </c>
      <c r="J23" s="8">
        <v>-57.49</v>
      </c>
      <c r="K23" s="8" t="s">
        <v>48</v>
      </c>
      <c r="L23" s="11">
        <v>2053.349851254844</v>
      </c>
      <c r="M23" s="12">
        <v>6.02</v>
      </c>
      <c r="N23" s="12">
        <v>264.2</v>
      </c>
      <c r="O23" s="12">
        <v>-0.61</v>
      </c>
      <c r="P23" s="12">
        <v>-5.99</v>
      </c>
      <c r="Q23" s="42">
        <v>2318.1999999999998</v>
      </c>
      <c r="R23" s="45">
        <v>8.0973670000000002</v>
      </c>
    </row>
    <row r="24" spans="1:18" ht="15.75" customHeight="1" thickBot="1" x14ac:dyDescent="0.35">
      <c r="A24" s="32" t="s">
        <v>72</v>
      </c>
      <c r="B24" s="33" t="s">
        <v>12</v>
      </c>
      <c r="C24" s="15">
        <v>45131</v>
      </c>
      <c r="D24" s="16">
        <v>0.2722222222222222</v>
      </c>
      <c r="E24" s="14" t="s">
        <v>49</v>
      </c>
      <c r="F24" s="14">
        <v>0.36599999999999999</v>
      </c>
      <c r="G24" s="14">
        <v>29.36</v>
      </c>
      <c r="H24" s="14">
        <v>34.31</v>
      </c>
      <c r="I24" s="14">
        <v>5.56</v>
      </c>
      <c r="J24" s="14">
        <v>-57.93</v>
      </c>
      <c r="K24" s="14" t="s">
        <v>50</v>
      </c>
      <c r="L24" s="19">
        <v>2057.4101520981772</v>
      </c>
      <c r="M24" s="18">
        <v>4.1500000000000004</v>
      </c>
      <c r="N24" s="18">
        <v>225.22</v>
      </c>
      <c r="O24" s="18">
        <v>-2.92</v>
      </c>
      <c r="P24" s="18">
        <v>-2.94</v>
      </c>
      <c r="Q24" s="42">
        <v>2306.1999999999998</v>
      </c>
      <c r="R24" s="45">
        <v>8.0644910000000003</v>
      </c>
    </row>
    <row r="25" spans="1:18" ht="16.2" thickBot="1" x14ac:dyDescent="0.35">
      <c r="A25" s="32" t="s">
        <v>72</v>
      </c>
      <c r="B25" s="33" t="s">
        <v>12</v>
      </c>
      <c r="C25" s="15">
        <v>45131</v>
      </c>
      <c r="D25" s="16">
        <v>0.27430555555555552</v>
      </c>
      <c r="E25" s="14" t="s">
        <v>51</v>
      </c>
      <c r="F25" s="14">
        <v>0.371</v>
      </c>
      <c r="G25" s="14">
        <v>29.57</v>
      </c>
      <c r="H25" s="14">
        <v>34.35</v>
      </c>
      <c r="I25" s="14">
        <v>5.74</v>
      </c>
      <c r="J25" s="14">
        <v>-59.67</v>
      </c>
      <c r="K25" s="14" t="s">
        <v>52</v>
      </c>
      <c r="L25" s="19">
        <v>2034.9701226072086</v>
      </c>
      <c r="M25" s="18">
        <v>4.1500000000000004</v>
      </c>
      <c r="N25" s="18">
        <v>225.22</v>
      </c>
      <c r="O25" s="18">
        <v>-2.92</v>
      </c>
      <c r="P25" s="18">
        <v>-2.94</v>
      </c>
      <c r="Q25" s="42">
        <v>2304.1999999999998</v>
      </c>
      <c r="R25" s="45">
        <v>8.1021300000000007</v>
      </c>
    </row>
    <row r="26" spans="1:18" ht="16.2" thickBot="1" x14ac:dyDescent="0.35">
      <c r="A26" s="32" t="s">
        <v>72</v>
      </c>
      <c r="B26" s="33" t="s">
        <v>12</v>
      </c>
      <c r="C26" s="15">
        <v>45131</v>
      </c>
      <c r="D26" s="16">
        <v>0.27569444444444446</v>
      </c>
      <c r="E26" s="14" t="s">
        <v>53</v>
      </c>
      <c r="F26" s="14">
        <v>0.28100000000000003</v>
      </c>
      <c r="G26" s="14">
        <v>29.29</v>
      </c>
      <c r="H26" s="14">
        <v>34.369999999999997</v>
      </c>
      <c r="I26" s="14">
        <v>5.53</v>
      </c>
      <c r="J26" s="14">
        <v>-56.24</v>
      </c>
      <c r="K26" s="14" t="s">
        <v>54</v>
      </c>
      <c r="L26" s="19">
        <v>2034.952812959423</v>
      </c>
      <c r="M26" s="18">
        <v>4.1500000000000004</v>
      </c>
      <c r="N26" s="18">
        <v>225.22</v>
      </c>
      <c r="O26" s="18">
        <v>-2.92</v>
      </c>
      <c r="P26" s="18">
        <v>-2.94</v>
      </c>
      <c r="Q26" s="42">
        <v>2294</v>
      </c>
      <c r="R26" s="45">
        <v>8.0884260000000001</v>
      </c>
    </row>
    <row r="27" spans="1:18" ht="16.2" thickBot="1" x14ac:dyDescent="0.35">
      <c r="A27" s="32" t="s">
        <v>72</v>
      </c>
      <c r="B27" s="33" t="s">
        <v>12</v>
      </c>
      <c r="C27" s="34">
        <v>45131</v>
      </c>
      <c r="D27" s="35">
        <v>0.27777777777777779</v>
      </c>
      <c r="E27" s="33" t="s">
        <v>55</v>
      </c>
      <c r="F27" s="33">
        <v>0.28199999999999997</v>
      </c>
      <c r="G27" s="33">
        <v>29.38</v>
      </c>
      <c r="H27" s="33">
        <v>34.47</v>
      </c>
      <c r="I27" s="33">
        <v>5.7</v>
      </c>
      <c r="J27" s="33">
        <v>-54.91</v>
      </c>
      <c r="K27" s="33" t="s">
        <v>56</v>
      </c>
      <c r="L27" s="39">
        <v>2042.1313975499581</v>
      </c>
      <c r="M27" s="37">
        <v>6.38</v>
      </c>
      <c r="N27" s="37">
        <v>277.02</v>
      </c>
      <c r="O27" s="37">
        <v>0.78</v>
      </c>
      <c r="P27" s="37">
        <v>-6.34</v>
      </c>
      <c r="Q27" s="42">
        <v>2301.5</v>
      </c>
      <c r="R27" s="45">
        <v>8.0850209999999993</v>
      </c>
    </row>
    <row r="28" spans="1:18" ht="16.2" thickBot="1" x14ac:dyDescent="0.35">
      <c r="A28" s="32" t="s">
        <v>72</v>
      </c>
      <c r="B28" s="33" t="s">
        <v>73</v>
      </c>
      <c r="C28" s="26">
        <v>45131</v>
      </c>
      <c r="D28" s="27">
        <v>7.2222222222222229E-2</v>
      </c>
      <c r="E28" s="25" t="s">
        <v>39</v>
      </c>
      <c r="F28" s="25">
        <v>0.17399999999999999</v>
      </c>
      <c r="G28" s="25">
        <v>30.9</v>
      </c>
      <c r="H28" s="25">
        <v>33.99</v>
      </c>
      <c r="I28" s="25">
        <v>7.82</v>
      </c>
      <c r="J28" s="25">
        <v>-58.66</v>
      </c>
      <c r="K28" s="25" t="s">
        <v>57</v>
      </c>
      <c r="L28" s="38">
        <v>1939.9354670486653</v>
      </c>
      <c r="M28" s="29">
        <v>9</v>
      </c>
      <c r="N28" s="29">
        <v>281.42</v>
      </c>
      <c r="O28" s="29">
        <v>1.78</v>
      </c>
      <c r="P28" s="29">
        <v>-8.82</v>
      </c>
      <c r="Q28" s="42">
        <v>2283.3000000000002</v>
      </c>
      <c r="R28" s="45">
        <v>8.2265979999999992</v>
      </c>
    </row>
    <row r="29" spans="1:18" ht="16.2" thickBot="1" x14ac:dyDescent="0.35">
      <c r="A29" s="32" t="s">
        <v>72</v>
      </c>
      <c r="B29" s="33" t="s">
        <v>73</v>
      </c>
      <c r="C29" s="15">
        <v>45131</v>
      </c>
      <c r="D29" s="16">
        <v>7.5694444444444439E-2</v>
      </c>
      <c r="E29" s="14" t="s">
        <v>41</v>
      </c>
      <c r="F29" s="14">
        <v>0.28599999999999998</v>
      </c>
      <c r="G29" s="14">
        <v>30.73</v>
      </c>
      <c r="H29" s="14">
        <v>34.020000000000003</v>
      </c>
      <c r="I29" s="14">
        <v>7.94</v>
      </c>
      <c r="J29" s="14">
        <v>-54.25</v>
      </c>
      <c r="K29" s="14" t="s">
        <v>58</v>
      </c>
      <c r="L29" s="19">
        <v>1930.4619007356464</v>
      </c>
      <c r="M29" s="18">
        <v>5.47</v>
      </c>
      <c r="N29" s="18">
        <v>275.14</v>
      </c>
      <c r="O29" s="18">
        <v>0.49</v>
      </c>
      <c r="P29" s="18">
        <v>-5.45</v>
      </c>
      <c r="Q29" s="42">
        <v>2277.1999999999998</v>
      </c>
      <c r="R29" s="45">
        <v>8.2363180000000007</v>
      </c>
    </row>
    <row r="30" spans="1:18" ht="16.2" thickBot="1" x14ac:dyDescent="0.35">
      <c r="A30" s="32" t="s">
        <v>72</v>
      </c>
      <c r="B30" s="33" t="s">
        <v>73</v>
      </c>
      <c r="C30" s="15">
        <v>45131</v>
      </c>
      <c r="D30" s="16">
        <v>7.7777777777777779E-2</v>
      </c>
      <c r="E30" s="14" t="s">
        <v>43</v>
      </c>
      <c r="F30" s="14">
        <v>0.14599999999999999</v>
      </c>
      <c r="G30" s="14">
        <v>30.57</v>
      </c>
      <c r="H30" s="14">
        <v>34.1</v>
      </c>
      <c r="I30" s="14">
        <v>7.65</v>
      </c>
      <c r="J30" s="14">
        <v>-60.34</v>
      </c>
      <c r="K30" s="14" t="s">
        <v>59</v>
      </c>
      <c r="L30" s="19">
        <v>1946.0051797048613</v>
      </c>
      <c r="M30" s="18">
        <v>5.47</v>
      </c>
      <c r="N30" s="18">
        <v>275.14</v>
      </c>
      <c r="O30" s="18">
        <v>0.49</v>
      </c>
      <c r="P30" s="18">
        <v>-5.45</v>
      </c>
      <c r="Q30" s="42">
        <v>2283</v>
      </c>
      <c r="R30" s="45">
        <v>8.2195429999999998</v>
      </c>
    </row>
    <row r="31" spans="1:18" ht="16.2" thickBot="1" x14ac:dyDescent="0.35">
      <c r="A31" s="32" t="s">
        <v>72</v>
      </c>
      <c r="B31" s="33" t="s">
        <v>73</v>
      </c>
      <c r="C31" s="15">
        <v>45131</v>
      </c>
      <c r="D31" s="16">
        <v>8.0555555555555561E-2</v>
      </c>
      <c r="E31" s="14" t="s">
        <v>45</v>
      </c>
      <c r="F31" s="14">
        <v>0.182</v>
      </c>
      <c r="G31" s="14">
        <v>30.73</v>
      </c>
      <c r="H31" s="14">
        <v>34.08</v>
      </c>
      <c r="I31" s="14">
        <v>7.61</v>
      </c>
      <c r="J31" s="14">
        <v>-61.45</v>
      </c>
      <c r="K31" s="14" t="s">
        <v>60</v>
      </c>
      <c r="L31" s="17">
        <v>1946.3615032546547</v>
      </c>
      <c r="M31" s="18">
        <v>6.61</v>
      </c>
      <c r="N31" s="18">
        <v>269.38</v>
      </c>
      <c r="O31" s="18">
        <v>-7.0000000000000007E-2</v>
      </c>
      <c r="P31" s="18">
        <v>-6.61</v>
      </c>
      <c r="Q31" s="43">
        <v>2290.6</v>
      </c>
      <c r="R31" s="45">
        <v>8.2279149999999994</v>
      </c>
    </row>
    <row r="32" spans="1:18" ht="16.2" thickBot="1" x14ac:dyDescent="0.35">
      <c r="A32" s="32" t="s">
        <v>72</v>
      </c>
      <c r="B32" s="33" t="s">
        <v>73</v>
      </c>
      <c r="C32" s="9">
        <v>45131</v>
      </c>
      <c r="D32" s="10">
        <v>8.2638888888888887E-2</v>
      </c>
      <c r="E32" s="8" t="s">
        <v>47</v>
      </c>
      <c r="F32" s="8">
        <v>0.11600000000000001</v>
      </c>
      <c r="G32" s="8">
        <v>30.44</v>
      </c>
      <c r="H32" s="8">
        <v>34.11</v>
      </c>
      <c r="I32" s="8">
        <v>7.5</v>
      </c>
      <c r="J32" s="8">
        <v>-60</v>
      </c>
      <c r="K32" s="8" t="s">
        <v>61</v>
      </c>
      <c r="L32" s="13">
        <v>1958.6157532072875</v>
      </c>
      <c r="M32" s="12">
        <v>6.61</v>
      </c>
      <c r="N32" s="12">
        <v>269.38</v>
      </c>
      <c r="O32" s="12">
        <v>-7.0000000000000007E-2</v>
      </c>
      <c r="P32" s="12">
        <v>-6.61</v>
      </c>
      <c r="Q32" s="42">
        <v>2301.1</v>
      </c>
      <c r="R32" s="45">
        <v>8.2263339999999996</v>
      </c>
    </row>
    <row r="33" spans="1:18" ht="16.2" thickBot="1" x14ac:dyDescent="0.35">
      <c r="A33" s="32" t="s">
        <v>72</v>
      </c>
      <c r="B33" s="33" t="s">
        <v>73</v>
      </c>
      <c r="C33" s="15">
        <v>45131</v>
      </c>
      <c r="D33" s="16">
        <v>8.4027777777777771E-2</v>
      </c>
      <c r="E33" s="14" t="s">
        <v>49</v>
      </c>
      <c r="F33" s="14">
        <v>0.127</v>
      </c>
      <c r="G33" s="14">
        <v>30.64</v>
      </c>
      <c r="H33" s="14">
        <v>34.11</v>
      </c>
      <c r="I33" s="14">
        <v>7.8</v>
      </c>
      <c r="J33" s="14">
        <v>-59.06</v>
      </c>
      <c r="K33" s="14" t="s">
        <v>62</v>
      </c>
      <c r="L33" s="19">
        <v>1923.9587615549945</v>
      </c>
      <c r="M33" s="18">
        <v>5.41</v>
      </c>
      <c r="N33" s="18">
        <v>277.02999999999997</v>
      </c>
      <c r="O33" s="18">
        <v>0.66</v>
      </c>
      <c r="P33" s="18">
        <v>-5.37</v>
      </c>
      <c r="Q33" s="42">
        <v>2290</v>
      </c>
      <c r="R33" s="45">
        <v>8.2663729999999997</v>
      </c>
    </row>
    <row r="34" spans="1:18" ht="16.2" thickBot="1" x14ac:dyDescent="0.35">
      <c r="A34" s="32" t="s">
        <v>72</v>
      </c>
      <c r="B34" s="33" t="s">
        <v>73</v>
      </c>
      <c r="C34" s="15">
        <v>45131</v>
      </c>
      <c r="D34" s="16">
        <v>8.5416666666666655E-2</v>
      </c>
      <c r="E34" s="14" t="s">
        <v>51</v>
      </c>
      <c r="F34" s="14">
        <v>0.193</v>
      </c>
      <c r="G34" s="14">
        <v>30.65</v>
      </c>
      <c r="H34" s="14">
        <v>34.19</v>
      </c>
      <c r="I34" s="14">
        <v>7.84</v>
      </c>
      <c r="J34" s="14">
        <v>-61.67</v>
      </c>
      <c r="K34" s="14" t="s">
        <v>63</v>
      </c>
      <c r="L34" s="19">
        <v>1967.4237546207091</v>
      </c>
      <c r="M34" s="18">
        <v>5.41</v>
      </c>
      <c r="N34" s="18">
        <v>277.02999999999997</v>
      </c>
      <c r="O34" s="18">
        <v>0.66</v>
      </c>
      <c r="P34" s="18">
        <v>-5.37</v>
      </c>
      <c r="Q34" s="42">
        <v>2292.1999999999998</v>
      </c>
      <c r="R34" s="45">
        <v>8.1934939999999994</v>
      </c>
    </row>
    <row r="35" spans="1:18" ht="16.2" thickBot="1" x14ac:dyDescent="0.35">
      <c r="A35" s="32" t="s">
        <v>72</v>
      </c>
      <c r="B35" s="33" t="s">
        <v>73</v>
      </c>
      <c r="C35" s="15">
        <v>45131</v>
      </c>
      <c r="D35" s="16">
        <v>8.6805555555555566E-2</v>
      </c>
      <c r="E35" s="14" t="s">
        <v>53</v>
      </c>
      <c r="F35" s="14">
        <v>0.13700000000000001</v>
      </c>
      <c r="G35" s="14">
        <v>30.14</v>
      </c>
      <c r="H35" s="14">
        <v>34.159999999999997</v>
      </c>
      <c r="I35" s="14">
        <v>7.4</v>
      </c>
      <c r="J35" s="14">
        <v>-59.42</v>
      </c>
      <c r="K35" s="14" t="s">
        <v>64</v>
      </c>
      <c r="L35" s="19">
        <v>1950.54771366823</v>
      </c>
      <c r="M35" s="18">
        <v>5.41</v>
      </c>
      <c r="N35" s="18">
        <v>277.02999999999997</v>
      </c>
      <c r="O35" s="18">
        <v>0.66</v>
      </c>
      <c r="P35" s="18">
        <v>-5.37</v>
      </c>
      <c r="Q35" s="42">
        <v>2299.8000000000002</v>
      </c>
      <c r="R35" s="45">
        <v>8.2424409999999995</v>
      </c>
    </row>
    <row r="36" spans="1:18" ht="16.2" thickBot="1" x14ac:dyDescent="0.35">
      <c r="A36" s="32" t="s">
        <v>72</v>
      </c>
      <c r="B36" s="33" t="s">
        <v>73</v>
      </c>
      <c r="C36" s="34">
        <v>45131</v>
      </c>
      <c r="D36" s="35">
        <v>8.819444444444445E-2</v>
      </c>
      <c r="E36" s="33" t="s">
        <v>55</v>
      </c>
      <c r="F36" s="33">
        <v>0.17799999999999999</v>
      </c>
      <c r="G36" s="33">
        <v>30.26</v>
      </c>
      <c r="H36" s="33">
        <v>34.17</v>
      </c>
      <c r="I36" s="33">
        <v>7.4</v>
      </c>
      <c r="J36" s="33">
        <v>-58.11</v>
      </c>
      <c r="K36" s="33" t="s">
        <v>65</v>
      </c>
      <c r="L36" s="36">
        <v>1967.0055256554988</v>
      </c>
      <c r="M36" s="37">
        <v>5.41</v>
      </c>
      <c r="N36" s="37">
        <v>277.02999999999997</v>
      </c>
      <c r="O36" s="37">
        <v>0.66</v>
      </c>
      <c r="P36" s="37">
        <v>-5.37</v>
      </c>
      <c r="Q36" s="42">
        <v>2292.5</v>
      </c>
      <c r="R36" s="45">
        <v>8.200882</v>
      </c>
    </row>
    <row r="37" spans="1:18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>
        <f>AVERAGE(L2:L36)</f>
        <v>2005.6973739696841</v>
      </c>
      <c r="Q37">
        <f>AVERAGE(Q2:Q36)</f>
        <v>2311.8714285714286</v>
      </c>
    </row>
    <row r="38" spans="1:18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</row>
    <row r="39" spans="1:18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</row>
    <row r="40" spans="1:18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8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8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8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8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8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8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8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8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CFF2-1073-4ADE-80AF-DC74857DF9AE}">
  <dimension ref="A1:P36"/>
  <sheetViews>
    <sheetView topLeftCell="C1" workbookViewId="0">
      <selection activeCell="F1" sqref="F1:F35"/>
    </sheetView>
  </sheetViews>
  <sheetFormatPr baseColWidth="10" defaultRowHeight="13.2" x14ac:dyDescent="0.25"/>
  <sheetData>
    <row r="1" spans="1:16" ht="15" thickBot="1" x14ac:dyDescent="0.35">
      <c r="A1" s="21" t="s">
        <v>0</v>
      </c>
      <c r="B1" s="22" t="s">
        <v>1</v>
      </c>
      <c r="C1" s="40" t="s">
        <v>71</v>
      </c>
      <c r="D1" s="44" t="s">
        <v>75</v>
      </c>
      <c r="E1" s="22" t="s">
        <v>66</v>
      </c>
      <c r="F1" s="22" t="s">
        <v>8</v>
      </c>
      <c r="K1" s="21" t="s">
        <v>0</v>
      </c>
      <c r="L1" s="22" t="s">
        <v>1</v>
      </c>
      <c r="M1" s="40" t="s">
        <v>71</v>
      </c>
      <c r="N1" s="44" t="s">
        <v>75</v>
      </c>
      <c r="O1" s="22" t="s">
        <v>66</v>
      </c>
      <c r="P1" s="22" t="s">
        <v>8</v>
      </c>
    </row>
    <row r="2" spans="1:16" ht="16.2" thickBot="1" x14ac:dyDescent="0.35">
      <c r="A2" s="24" t="s">
        <v>11</v>
      </c>
      <c r="B2" s="25" t="s">
        <v>12</v>
      </c>
      <c r="C2" s="42">
        <v>2334.6</v>
      </c>
      <c r="D2" s="45">
        <v>8.1309810000000002</v>
      </c>
      <c r="E2" s="28">
        <v>2041.2653880931346</v>
      </c>
      <c r="F2" s="25">
        <v>5.88</v>
      </c>
      <c r="K2" s="32" t="s">
        <v>11</v>
      </c>
      <c r="L2" s="33" t="s">
        <v>73</v>
      </c>
      <c r="M2" s="42">
        <v>2331.4</v>
      </c>
      <c r="N2" s="45">
        <v>8.1981809999999999</v>
      </c>
      <c r="O2" s="38">
        <v>1995.4373978077426</v>
      </c>
      <c r="P2" s="25">
        <v>6.82</v>
      </c>
    </row>
    <row r="3" spans="1:16" ht="16.2" thickBot="1" x14ac:dyDescent="0.35">
      <c r="A3" s="30" t="s">
        <v>11</v>
      </c>
      <c r="B3" s="14" t="s">
        <v>12</v>
      </c>
      <c r="C3" s="42">
        <v>2339.6999999999998</v>
      </c>
      <c r="D3" s="45">
        <v>8.0958199999999998</v>
      </c>
      <c r="E3" s="19">
        <v>2064.7680694168789</v>
      </c>
      <c r="F3" s="14">
        <v>5.36</v>
      </c>
      <c r="K3" s="32" t="s">
        <v>11</v>
      </c>
      <c r="L3" s="33" t="s">
        <v>73</v>
      </c>
      <c r="M3" s="42">
        <v>2319.4</v>
      </c>
      <c r="N3" s="45">
        <v>8.1963519999999992</v>
      </c>
      <c r="O3" s="19">
        <v>1983.9248828210286</v>
      </c>
      <c r="P3" s="14">
        <v>8.07</v>
      </c>
    </row>
    <row r="4" spans="1:16" ht="16.2" thickBot="1" x14ac:dyDescent="0.35">
      <c r="A4" s="30" t="s">
        <v>11</v>
      </c>
      <c r="B4" s="14" t="s">
        <v>12</v>
      </c>
      <c r="C4" s="42">
        <v>2325.6999999999998</v>
      </c>
      <c r="D4" s="45">
        <v>8.1374209999999998</v>
      </c>
      <c r="E4" s="19">
        <v>2031.3457229158591</v>
      </c>
      <c r="F4" s="14">
        <v>5.96</v>
      </c>
      <c r="K4" s="32" t="s">
        <v>11</v>
      </c>
      <c r="L4" s="33" t="s">
        <v>73</v>
      </c>
      <c r="M4" s="42">
        <v>2323</v>
      </c>
      <c r="N4" s="45">
        <v>8.1682059999999996</v>
      </c>
      <c r="O4" s="19">
        <v>2007.7905995672613</v>
      </c>
      <c r="P4" s="14">
        <v>6.87</v>
      </c>
    </row>
    <row r="5" spans="1:16" ht="16.2" thickBot="1" x14ac:dyDescent="0.35">
      <c r="A5" s="31" t="s">
        <v>11</v>
      </c>
      <c r="B5" s="3" t="s">
        <v>12</v>
      </c>
      <c r="C5" s="42">
        <v>2343.4</v>
      </c>
      <c r="D5" s="45">
        <v>8.123564</v>
      </c>
      <c r="E5" s="20">
        <v>2054.3121265025752</v>
      </c>
      <c r="F5" s="3">
        <v>5.67</v>
      </c>
      <c r="K5" s="32" t="s">
        <v>11</v>
      </c>
      <c r="L5" s="33" t="s">
        <v>73</v>
      </c>
      <c r="M5" s="42">
        <v>2320.1</v>
      </c>
      <c r="N5" s="45">
        <v>8.2316950000000002</v>
      </c>
      <c r="O5" s="7">
        <v>1966.1485007858666</v>
      </c>
      <c r="P5" s="3">
        <v>7.5</v>
      </c>
    </row>
    <row r="6" spans="1:16" ht="16.2" thickBot="1" x14ac:dyDescent="0.35">
      <c r="A6" s="30" t="s">
        <v>11</v>
      </c>
      <c r="B6" s="14" t="s">
        <v>12</v>
      </c>
      <c r="C6" s="42">
        <v>2345</v>
      </c>
      <c r="D6" s="45">
        <v>8.060943</v>
      </c>
      <c r="E6" s="17">
        <v>2088.0187693722582</v>
      </c>
      <c r="F6" s="14">
        <v>5.48</v>
      </c>
      <c r="K6" s="32" t="s">
        <v>11</v>
      </c>
      <c r="L6" s="33" t="s">
        <v>73</v>
      </c>
      <c r="M6" s="42">
        <v>2316.6999999999998</v>
      </c>
      <c r="N6" s="45">
        <v>8.2455390000000008</v>
      </c>
      <c r="O6" s="19">
        <v>1949.4835903515841</v>
      </c>
      <c r="P6" s="14">
        <v>8.1999999999999993</v>
      </c>
    </row>
    <row r="7" spans="1:16" ht="16.2" thickBot="1" x14ac:dyDescent="0.35">
      <c r="A7" s="30" t="s">
        <v>11</v>
      </c>
      <c r="B7" s="14" t="s">
        <v>12</v>
      </c>
      <c r="C7" s="42">
        <v>2340.1999999999998</v>
      </c>
      <c r="D7" s="45">
        <v>8.0757429999999992</v>
      </c>
      <c r="E7" s="19">
        <v>2078.3950335700583</v>
      </c>
      <c r="F7" s="14">
        <v>5.47</v>
      </c>
      <c r="K7" s="32" t="s">
        <v>11</v>
      </c>
      <c r="L7" s="33" t="s">
        <v>73</v>
      </c>
      <c r="M7" s="42">
        <v>2319.1</v>
      </c>
      <c r="N7" s="45">
        <v>8.2499040000000008</v>
      </c>
      <c r="O7" s="19">
        <v>1952.3559897214284</v>
      </c>
      <c r="P7" s="14">
        <v>8.25</v>
      </c>
    </row>
    <row r="8" spans="1:16" ht="16.2" thickBot="1" x14ac:dyDescent="0.35">
      <c r="A8" s="30" t="s">
        <v>11</v>
      </c>
      <c r="B8" s="14" t="s">
        <v>12</v>
      </c>
      <c r="C8" s="42">
        <v>2332.1</v>
      </c>
      <c r="D8" s="45">
        <v>8.1529779999999992</v>
      </c>
      <c r="E8" s="19">
        <v>2029.0737561510784</v>
      </c>
      <c r="F8" s="14">
        <v>6.09</v>
      </c>
      <c r="K8" s="32" t="s">
        <v>11</v>
      </c>
      <c r="L8" s="33" t="s">
        <v>73</v>
      </c>
      <c r="M8" s="42">
        <v>2323.8000000000002</v>
      </c>
      <c r="N8" s="45">
        <v>8.1556440000000006</v>
      </c>
      <c r="O8" s="17">
        <v>2017.1116583758385</v>
      </c>
      <c r="P8" s="14">
        <v>6.56</v>
      </c>
    </row>
    <row r="9" spans="1:16" ht="16.2" thickBot="1" x14ac:dyDescent="0.35">
      <c r="A9" s="32" t="s">
        <v>11</v>
      </c>
      <c r="B9" s="33" t="s">
        <v>12</v>
      </c>
      <c r="C9" s="42">
        <v>2316.8000000000002</v>
      </c>
      <c r="D9" s="45">
        <v>8.1575469999999992</v>
      </c>
      <c r="E9" s="36">
        <v>2013.6717291678406</v>
      </c>
      <c r="F9" s="33">
        <v>6.35</v>
      </c>
      <c r="K9" s="32" t="s">
        <v>11</v>
      </c>
      <c r="L9" s="33" t="s">
        <v>73</v>
      </c>
      <c r="M9" s="42">
        <v>2314.9</v>
      </c>
      <c r="N9" s="45">
        <v>8.2202909999999996</v>
      </c>
      <c r="O9" s="36">
        <v>1967.931900555654</v>
      </c>
      <c r="P9" s="33">
        <v>7.5</v>
      </c>
    </row>
    <row r="10" spans="1:16" ht="16.2" thickBot="1" x14ac:dyDescent="0.35">
      <c r="A10" s="32" t="s">
        <v>11</v>
      </c>
      <c r="B10" s="33" t="s">
        <v>73</v>
      </c>
      <c r="C10" s="42">
        <v>2331.4</v>
      </c>
      <c r="D10" s="45">
        <v>8.1981809999999999</v>
      </c>
      <c r="E10" s="38">
        <v>1995.4373978077426</v>
      </c>
      <c r="F10" s="25">
        <v>6.82</v>
      </c>
      <c r="K10" s="32" t="s">
        <v>72</v>
      </c>
      <c r="L10" s="33" t="s">
        <v>73</v>
      </c>
      <c r="M10" s="42">
        <v>2277.1999999999998</v>
      </c>
      <c r="N10" s="45">
        <v>8.2363180000000007</v>
      </c>
      <c r="O10" s="38">
        <v>1939.9354670486653</v>
      </c>
      <c r="P10" s="25">
        <v>7.82</v>
      </c>
    </row>
    <row r="11" spans="1:16" ht="16.2" thickBot="1" x14ac:dyDescent="0.35">
      <c r="A11" s="32" t="s">
        <v>11</v>
      </c>
      <c r="B11" s="33" t="s">
        <v>73</v>
      </c>
      <c r="C11" s="42">
        <v>2319.4</v>
      </c>
      <c r="D11" s="45">
        <v>8.1963519999999992</v>
      </c>
      <c r="E11" s="19">
        <v>1983.9248828210286</v>
      </c>
      <c r="F11" s="14">
        <v>8.07</v>
      </c>
      <c r="K11" s="32" t="s">
        <v>72</v>
      </c>
      <c r="L11" s="33" t="s">
        <v>73</v>
      </c>
      <c r="M11" s="42">
        <v>2283</v>
      </c>
      <c r="N11" s="45">
        <v>8.2195429999999998</v>
      </c>
      <c r="O11" s="19">
        <v>1930.4619007356464</v>
      </c>
      <c r="P11" s="14">
        <v>7.94</v>
      </c>
    </row>
    <row r="12" spans="1:16" ht="16.2" thickBot="1" x14ac:dyDescent="0.35">
      <c r="A12" s="32" t="s">
        <v>11</v>
      </c>
      <c r="B12" s="33" t="s">
        <v>73</v>
      </c>
      <c r="C12" s="42">
        <v>2323</v>
      </c>
      <c r="D12" s="45">
        <v>8.1682059999999996</v>
      </c>
      <c r="E12" s="19">
        <v>2007.7905995672613</v>
      </c>
      <c r="F12" s="14">
        <v>6.87</v>
      </c>
      <c r="K12" s="32" t="s">
        <v>72</v>
      </c>
      <c r="L12" s="33" t="s">
        <v>73</v>
      </c>
      <c r="M12" s="43">
        <v>2290.6</v>
      </c>
      <c r="N12" s="45">
        <v>8.2279149999999994</v>
      </c>
      <c r="O12" s="19">
        <v>1946.0051797048613</v>
      </c>
      <c r="P12" s="14">
        <v>7.65</v>
      </c>
    </row>
    <row r="13" spans="1:16" ht="16.2" thickBot="1" x14ac:dyDescent="0.35">
      <c r="A13" s="32" t="s">
        <v>11</v>
      </c>
      <c r="B13" s="33" t="s">
        <v>73</v>
      </c>
      <c r="C13" s="42">
        <v>2320.1</v>
      </c>
      <c r="D13" s="45">
        <v>8.2316950000000002</v>
      </c>
      <c r="E13" s="7">
        <v>1966.1485007858666</v>
      </c>
      <c r="F13" s="3">
        <v>7.5</v>
      </c>
      <c r="K13" s="32" t="s">
        <v>72</v>
      </c>
      <c r="L13" s="33" t="s">
        <v>73</v>
      </c>
      <c r="M13" s="42">
        <v>2301.1</v>
      </c>
      <c r="N13" s="45">
        <v>8.2263339999999996</v>
      </c>
      <c r="O13" s="17">
        <v>1946.3615032546547</v>
      </c>
      <c r="P13" s="14">
        <v>7.61</v>
      </c>
    </row>
    <row r="14" spans="1:16" ht="16.2" thickBot="1" x14ac:dyDescent="0.35">
      <c r="A14" s="32" t="s">
        <v>11</v>
      </c>
      <c r="B14" s="33" t="s">
        <v>73</v>
      </c>
      <c r="C14" s="42">
        <v>2316.6999999999998</v>
      </c>
      <c r="D14" s="45">
        <v>8.2455390000000008</v>
      </c>
      <c r="E14" s="19">
        <v>1949.4835903515841</v>
      </c>
      <c r="F14" s="14">
        <v>8.1999999999999993</v>
      </c>
      <c r="K14" s="32" t="s">
        <v>72</v>
      </c>
      <c r="L14" s="33" t="s">
        <v>73</v>
      </c>
      <c r="M14" s="42">
        <v>2290</v>
      </c>
      <c r="N14" s="45">
        <v>8.2663729999999997</v>
      </c>
      <c r="O14" s="13">
        <v>1958.6157532072875</v>
      </c>
      <c r="P14" s="8">
        <v>7.5</v>
      </c>
    </row>
    <row r="15" spans="1:16" ht="16.2" thickBot="1" x14ac:dyDescent="0.35">
      <c r="A15" s="32" t="s">
        <v>11</v>
      </c>
      <c r="B15" s="33" t="s">
        <v>73</v>
      </c>
      <c r="C15" s="42">
        <v>2319.1</v>
      </c>
      <c r="D15" s="45">
        <v>8.2499040000000008</v>
      </c>
      <c r="E15" s="19">
        <v>1952.3559897214284</v>
      </c>
      <c r="F15" s="14">
        <v>8.25</v>
      </c>
      <c r="K15" s="32" t="s">
        <v>72</v>
      </c>
      <c r="L15" s="33" t="s">
        <v>73</v>
      </c>
      <c r="M15" s="42">
        <v>2292.1999999999998</v>
      </c>
      <c r="N15" s="45">
        <v>8.1934939999999994</v>
      </c>
      <c r="O15" s="19">
        <v>1923.9587615549945</v>
      </c>
      <c r="P15" s="14">
        <v>7.8</v>
      </c>
    </row>
    <row r="16" spans="1:16" ht="16.2" thickBot="1" x14ac:dyDescent="0.35">
      <c r="A16" s="32" t="s">
        <v>11</v>
      </c>
      <c r="B16" s="33" t="s">
        <v>73</v>
      </c>
      <c r="C16" s="42">
        <v>2323.8000000000002</v>
      </c>
      <c r="D16" s="45">
        <v>8.1556440000000006</v>
      </c>
      <c r="E16" s="17">
        <v>2017.1116583758385</v>
      </c>
      <c r="F16" s="14">
        <v>6.56</v>
      </c>
      <c r="K16" s="32" t="s">
        <v>72</v>
      </c>
      <c r="L16" s="33" t="s">
        <v>73</v>
      </c>
      <c r="M16" s="42">
        <v>2299.8000000000002</v>
      </c>
      <c r="N16" s="45">
        <v>8.2424409999999995</v>
      </c>
      <c r="O16" s="19">
        <v>1967.4237546207091</v>
      </c>
      <c r="P16" s="14">
        <v>7.84</v>
      </c>
    </row>
    <row r="17" spans="1:16" ht="16.2" thickBot="1" x14ac:dyDescent="0.35">
      <c r="A17" s="32" t="s">
        <v>11</v>
      </c>
      <c r="B17" s="33" t="s">
        <v>73</v>
      </c>
      <c r="C17" s="42">
        <v>2314.9</v>
      </c>
      <c r="D17" s="45">
        <v>8.2202909999999996</v>
      </c>
      <c r="E17" s="36">
        <v>1967.931900555654</v>
      </c>
      <c r="F17" s="33">
        <v>7.5</v>
      </c>
      <c r="K17" s="32" t="s">
        <v>72</v>
      </c>
      <c r="L17" s="33" t="s">
        <v>73</v>
      </c>
      <c r="M17" s="42">
        <v>2292.5</v>
      </c>
      <c r="N17" s="45">
        <v>8.200882</v>
      </c>
      <c r="O17" s="19">
        <v>1950.54771366823</v>
      </c>
      <c r="P17" s="14">
        <v>7.4</v>
      </c>
    </row>
    <row r="18" spans="1:16" ht="16.2" thickBot="1" x14ac:dyDescent="0.35">
      <c r="A18" s="32" t="s">
        <v>72</v>
      </c>
      <c r="B18" s="33" t="s">
        <v>12</v>
      </c>
      <c r="C18" s="42">
        <v>2308</v>
      </c>
      <c r="D18" s="45">
        <v>8.1199460000000006</v>
      </c>
      <c r="E18" s="19">
        <v>2021.4954134233765</v>
      </c>
      <c r="F18" s="14">
        <v>5.88</v>
      </c>
      <c r="K18" s="32" t="s">
        <v>72</v>
      </c>
      <c r="L18" s="33" t="s">
        <v>73</v>
      </c>
      <c r="M18" s="42">
        <v>2292.5</v>
      </c>
      <c r="N18" s="45">
        <v>8.200882</v>
      </c>
      <c r="O18" s="36">
        <v>1967.0055256554988</v>
      </c>
      <c r="P18" s="33">
        <v>7.4</v>
      </c>
    </row>
    <row r="19" spans="1:16" ht="16.2" thickBot="1" x14ac:dyDescent="0.35">
      <c r="A19" s="32" t="s">
        <v>72</v>
      </c>
      <c r="B19" s="33" t="s">
        <v>12</v>
      </c>
      <c r="C19" s="42">
        <v>2309.4</v>
      </c>
      <c r="D19" s="45">
        <v>8.0711359999999992</v>
      </c>
      <c r="E19" s="19">
        <v>2030.7324156143534</v>
      </c>
      <c r="F19" s="14">
        <v>5.72</v>
      </c>
      <c r="M19">
        <f>AVERAGE(M2:M18)</f>
        <v>2305.1352941176474</v>
      </c>
      <c r="N19">
        <f t="shared" ref="N19:P19" si="0">AVERAGE(N2:N18)</f>
        <v>8.2164702352941177</v>
      </c>
      <c r="O19">
        <f t="shared" si="0"/>
        <v>1962.9705929080558</v>
      </c>
      <c r="P19">
        <f t="shared" si="0"/>
        <v>7.5723529411764714</v>
      </c>
    </row>
    <row r="20" spans="1:16" ht="16.2" thickBot="1" x14ac:dyDescent="0.35">
      <c r="A20" s="32" t="s">
        <v>72</v>
      </c>
      <c r="B20" s="33" t="s">
        <v>12</v>
      </c>
      <c r="C20" s="42">
        <v>2306.6</v>
      </c>
      <c r="D20" s="45">
        <v>8.0782889999999998</v>
      </c>
      <c r="E20" s="19">
        <v>2059.028703954973</v>
      </c>
      <c r="F20" s="14">
        <v>5.0999999999999996</v>
      </c>
      <c r="M20">
        <f>STDEVA(M2:M18)</f>
        <v>16.678876654936616</v>
      </c>
      <c r="N20">
        <f t="shared" ref="N20:P20" si="1">STDEVA(N2:N18)</f>
        <v>2.9355600474035307E-2</v>
      </c>
      <c r="O20">
        <f t="shared" si="1"/>
        <v>25.793643151875973</v>
      </c>
      <c r="P20">
        <f t="shared" si="1"/>
        <v>0.47351781133032234</v>
      </c>
    </row>
    <row r="21" spans="1:16" ht="16.2" thickBot="1" x14ac:dyDescent="0.35">
      <c r="A21" s="32" t="s">
        <v>72</v>
      </c>
      <c r="B21" s="33" t="s">
        <v>12</v>
      </c>
      <c r="C21" s="42">
        <v>2318.1999999999998</v>
      </c>
      <c r="D21" s="45">
        <v>8.0973670000000002</v>
      </c>
      <c r="E21" s="17">
        <v>2050.8481005679714</v>
      </c>
      <c r="F21" s="14">
        <v>5.29</v>
      </c>
    </row>
    <row r="22" spans="1:16" ht="16.2" thickBot="1" x14ac:dyDescent="0.35">
      <c r="A22" s="32" t="s">
        <v>72</v>
      </c>
      <c r="B22" s="33" t="s">
        <v>12</v>
      </c>
      <c r="C22" s="42">
        <v>2306.1999999999998</v>
      </c>
      <c r="D22" s="45">
        <v>8.0644910000000003</v>
      </c>
      <c r="E22" s="11">
        <v>2053.349851254844</v>
      </c>
      <c r="F22" s="8">
        <v>5.56</v>
      </c>
      <c r="I22">
        <f>STDEVA(N2:N9)</f>
        <v>3.4711123910684226E-2</v>
      </c>
    </row>
    <row r="23" spans="1:16" ht="16.2" thickBot="1" x14ac:dyDescent="0.35">
      <c r="A23" s="32" t="s">
        <v>72</v>
      </c>
      <c r="B23" s="33" t="s">
        <v>12</v>
      </c>
      <c r="C23" s="42">
        <v>2304.1999999999998</v>
      </c>
      <c r="D23" s="45">
        <v>8.1021300000000007</v>
      </c>
      <c r="E23" s="19">
        <v>2057.4101520981772</v>
      </c>
      <c r="F23" s="14">
        <v>5.56</v>
      </c>
      <c r="I23">
        <f>STDEVA(N10:N18)</f>
        <v>2.3256845798603064E-2</v>
      </c>
    </row>
    <row r="24" spans="1:16" ht="16.2" thickBot="1" x14ac:dyDescent="0.35">
      <c r="A24" s="32" t="s">
        <v>72</v>
      </c>
      <c r="B24" s="33" t="s">
        <v>12</v>
      </c>
      <c r="C24" s="42">
        <v>2294</v>
      </c>
      <c r="D24" s="45">
        <v>8.0884260000000001</v>
      </c>
      <c r="E24" s="19">
        <v>2034.9701226072086</v>
      </c>
      <c r="F24" s="14">
        <v>5.74</v>
      </c>
    </row>
    <row r="25" spans="1:16" ht="16.2" thickBot="1" x14ac:dyDescent="0.35">
      <c r="A25" s="32" t="s">
        <v>72</v>
      </c>
      <c r="B25" s="33" t="s">
        <v>12</v>
      </c>
      <c r="C25" s="42">
        <v>2301.5</v>
      </c>
      <c r="D25" s="45">
        <v>8.0850209999999993</v>
      </c>
      <c r="E25" s="19">
        <v>2034.952812959423</v>
      </c>
      <c r="F25" s="14">
        <v>5.53</v>
      </c>
    </row>
    <row r="26" spans="1:16" ht="16.2" thickBot="1" x14ac:dyDescent="0.35">
      <c r="A26" s="32" t="s">
        <v>72</v>
      </c>
      <c r="B26" s="33" t="s">
        <v>12</v>
      </c>
      <c r="C26" s="42">
        <v>2283.3000000000002</v>
      </c>
      <c r="D26" s="45">
        <v>8.2265979999999992</v>
      </c>
      <c r="E26" s="39">
        <v>2042.1313975499581</v>
      </c>
      <c r="F26" s="33">
        <v>5.7</v>
      </c>
    </row>
    <row r="27" spans="1:16" ht="16.2" thickBot="1" x14ac:dyDescent="0.35">
      <c r="A27" s="32" t="s">
        <v>72</v>
      </c>
      <c r="B27" s="33" t="s">
        <v>73</v>
      </c>
      <c r="C27" s="42">
        <v>2277.1999999999998</v>
      </c>
      <c r="D27" s="45">
        <v>8.2363180000000007</v>
      </c>
      <c r="E27" s="38">
        <v>1939.9354670486653</v>
      </c>
      <c r="F27" s="25">
        <v>7.82</v>
      </c>
    </row>
    <row r="28" spans="1:16" ht="16.2" thickBot="1" x14ac:dyDescent="0.35">
      <c r="A28" s="32" t="s">
        <v>72</v>
      </c>
      <c r="B28" s="33" t="s">
        <v>73</v>
      </c>
      <c r="C28" s="42">
        <v>2283</v>
      </c>
      <c r="D28" s="45">
        <v>8.2195429999999998</v>
      </c>
      <c r="E28" s="19">
        <v>1930.4619007356464</v>
      </c>
      <c r="F28" s="14">
        <v>7.94</v>
      </c>
    </row>
    <row r="29" spans="1:16" ht="16.2" thickBot="1" x14ac:dyDescent="0.35">
      <c r="A29" s="32" t="s">
        <v>72</v>
      </c>
      <c r="B29" s="33" t="s">
        <v>73</v>
      </c>
      <c r="C29" s="43">
        <v>2290.6</v>
      </c>
      <c r="D29" s="45">
        <v>8.2279149999999994</v>
      </c>
      <c r="E29" s="19">
        <v>1946.0051797048613</v>
      </c>
      <c r="F29" s="14">
        <v>7.65</v>
      </c>
    </row>
    <row r="30" spans="1:16" ht="16.2" thickBot="1" x14ac:dyDescent="0.35">
      <c r="A30" s="32" t="s">
        <v>72</v>
      </c>
      <c r="B30" s="33" t="s">
        <v>73</v>
      </c>
      <c r="C30" s="42">
        <v>2301.1</v>
      </c>
      <c r="D30" s="45">
        <v>8.2263339999999996</v>
      </c>
      <c r="E30" s="17">
        <v>1946.3615032546547</v>
      </c>
      <c r="F30" s="14">
        <v>7.61</v>
      </c>
    </row>
    <row r="31" spans="1:16" ht="16.2" thickBot="1" x14ac:dyDescent="0.35">
      <c r="A31" s="32" t="s">
        <v>72</v>
      </c>
      <c r="B31" s="33" t="s">
        <v>73</v>
      </c>
      <c r="C31" s="42">
        <v>2290</v>
      </c>
      <c r="D31" s="45">
        <v>8.2663729999999997</v>
      </c>
      <c r="E31" s="13">
        <v>1958.6157532072875</v>
      </c>
      <c r="F31" s="8">
        <v>7.5</v>
      </c>
    </row>
    <row r="32" spans="1:16" ht="16.2" thickBot="1" x14ac:dyDescent="0.35">
      <c r="A32" s="32" t="s">
        <v>72</v>
      </c>
      <c r="B32" s="33" t="s">
        <v>73</v>
      </c>
      <c r="C32" s="42">
        <v>2292.1999999999998</v>
      </c>
      <c r="D32" s="45">
        <v>8.1934939999999994</v>
      </c>
      <c r="E32" s="19">
        <v>1923.9587615549945</v>
      </c>
      <c r="F32" s="14">
        <v>7.8</v>
      </c>
    </row>
    <row r="33" spans="1:6" ht="16.2" thickBot="1" x14ac:dyDescent="0.35">
      <c r="A33" s="32" t="s">
        <v>72</v>
      </c>
      <c r="B33" s="33" t="s">
        <v>73</v>
      </c>
      <c r="C33" s="42">
        <v>2299.8000000000002</v>
      </c>
      <c r="D33" s="45">
        <v>8.2424409999999995</v>
      </c>
      <c r="E33" s="19">
        <v>1967.4237546207091</v>
      </c>
      <c r="F33" s="14">
        <v>7.84</v>
      </c>
    </row>
    <row r="34" spans="1:6" ht="16.2" thickBot="1" x14ac:dyDescent="0.35">
      <c r="A34" s="32" t="s">
        <v>72</v>
      </c>
      <c r="B34" s="33" t="s">
        <v>73</v>
      </c>
      <c r="C34" s="42">
        <v>2292.5</v>
      </c>
      <c r="D34" s="45">
        <v>8.200882</v>
      </c>
      <c r="E34" s="19">
        <v>1950.54771366823</v>
      </c>
      <c r="F34" s="14">
        <v>7.4</v>
      </c>
    </row>
    <row r="35" spans="1:6" ht="16.2" thickBot="1" x14ac:dyDescent="0.35">
      <c r="A35" s="32" t="s">
        <v>72</v>
      </c>
      <c r="B35" s="33" t="s">
        <v>73</v>
      </c>
      <c r="C35" s="42">
        <v>2292.5</v>
      </c>
      <c r="D35" s="45">
        <v>8.200882</v>
      </c>
      <c r="E35" s="36">
        <v>1967.0055256554988</v>
      </c>
      <c r="F35" s="33">
        <v>7.4</v>
      </c>
    </row>
    <row r="36" spans="1:6" x14ac:dyDescent="0.25">
      <c r="B36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DC13-9F28-41F8-BBF8-9243BBAD5291}">
  <dimension ref="A1:H1000"/>
  <sheetViews>
    <sheetView workbookViewId="0">
      <selection activeCell="I5" sqref="I5:I39"/>
    </sheetView>
  </sheetViews>
  <sheetFormatPr baseColWidth="10" defaultRowHeight="13.2" x14ac:dyDescent="0.25"/>
  <sheetData>
    <row r="1" spans="1:8" ht="15" thickBot="1" x14ac:dyDescent="0.35">
      <c r="A1" s="22" t="s">
        <v>74</v>
      </c>
    </row>
    <row r="2" spans="1:8" ht="14.4" x14ac:dyDescent="0.3">
      <c r="A2" s="25">
        <v>7.84</v>
      </c>
    </row>
    <row r="3" spans="1:8" ht="14.4" x14ac:dyDescent="0.3">
      <c r="A3" s="14">
        <v>7.9</v>
      </c>
    </row>
    <row r="4" spans="1:8" ht="14.4" x14ac:dyDescent="0.3">
      <c r="A4" s="14">
        <v>7.91</v>
      </c>
    </row>
    <row r="5" spans="1:8" ht="15" thickBot="1" x14ac:dyDescent="0.35">
      <c r="A5" s="3">
        <v>7.96</v>
      </c>
      <c r="E5" s="32" t="s">
        <v>72</v>
      </c>
      <c r="F5" s="33" t="s">
        <v>12</v>
      </c>
      <c r="G5" s="42">
        <v>2305.4</v>
      </c>
      <c r="H5" s="45">
        <v>8.1294330000000006</v>
      </c>
    </row>
    <row r="6" spans="1:8" ht="15" thickBot="1" x14ac:dyDescent="0.35">
      <c r="A6" s="14">
        <v>7.99</v>
      </c>
      <c r="E6" s="32" t="s">
        <v>72</v>
      </c>
      <c r="F6" s="33" t="s">
        <v>12</v>
      </c>
      <c r="G6" s="42">
        <v>2308</v>
      </c>
      <c r="H6" s="45">
        <v>8.1199460000000006</v>
      </c>
    </row>
    <row r="7" spans="1:8" ht="15" thickBot="1" x14ac:dyDescent="0.35">
      <c r="A7" s="14">
        <v>7.91</v>
      </c>
      <c r="E7" s="32" t="s">
        <v>72</v>
      </c>
      <c r="F7" s="33" t="s">
        <v>12</v>
      </c>
      <c r="G7" s="42">
        <v>2309.4</v>
      </c>
      <c r="H7" s="45">
        <v>8.0711359999999992</v>
      </c>
    </row>
    <row r="8" spans="1:8" ht="15" thickBot="1" x14ac:dyDescent="0.35">
      <c r="A8" s="14">
        <v>7.91</v>
      </c>
      <c r="E8" s="32" t="s">
        <v>72</v>
      </c>
      <c r="F8" s="33" t="s">
        <v>12</v>
      </c>
      <c r="G8" s="42">
        <v>2306.6</v>
      </c>
      <c r="H8" s="45">
        <v>8.0782889999999998</v>
      </c>
    </row>
    <row r="9" spans="1:8" ht="15" thickBot="1" x14ac:dyDescent="0.35">
      <c r="A9" s="33">
        <v>7.95</v>
      </c>
      <c r="E9" s="32" t="s">
        <v>72</v>
      </c>
      <c r="F9" s="33" t="s">
        <v>12</v>
      </c>
      <c r="G9" s="42">
        <v>2318.1999999999998</v>
      </c>
      <c r="H9" s="45">
        <v>8.0973670000000002</v>
      </c>
    </row>
    <row r="10" spans="1:8" ht="15" thickBot="1" x14ac:dyDescent="0.35">
      <c r="A10" s="25">
        <v>7.92</v>
      </c>
      <c r="E10" s="32" t="s">
        <v>72</v>
      </c>
      <c r="F10" s="33" t="s">
        <v>12</v>
      </c>
      <c r="G10" s="42">
        <v>2306.1999999999998</v>
      </c>
      <c r="H10" s="45">
        <v>8.0644910000000003</v>
      </c>
    </row>
    <row r="11" spans="1:8" ht="15" thickBot="1" x14ac:dyDescent="0.35">
      <c r="A11" s="14">
        <v>7.92</v>
      </c>
      <c r="E11" s="32" t="s">
        <v>72</v>
      </c>
      <c r="F11" s="33" t="s">
        <v>12</v>
      </c>
      <c r="G11" s="42">
        <v>2304.1999999999998</v>
      </c>
      <c r="H11" s="45">
        <v>8.1021300000000007</v>
      </c>
    </row>
    <row r="12" spans="1:8" ht="15" thickBot="1" x14ac:dyDescent="0.35">
      <c r="A12" s="14">
        <v>7.96</v>
      </c>
      <c r="E12" s="32" t="s">
        <v>72</v>
      </c>
      <c r="F12" s="33" t="s">
        <v>12</v>
      </c>
      <c r="G12" s="42">
        <v>2294</v>
      </c>
      <c r="H12" s="45">
        <v>8.0884260000000001</v>
      </c>
    </row>
    <row r="13" spans="1:8" ht="15" thickBot="1" x14ac:dyDescent="0.35">
      <c r="A13" s="3">
        <v>7.93</v>
      </c>
      <c r="E13" s="32" t="s">
        <v>72</v>
      </c>
      <c r="F13" s="33" t="s">
        <v>12</v>
      </c>
      <c r="G13" s="42">
        <v>2301.5</v>
      </c>
      <c r="H13" s="45">
        <v>8.0850209999999993</v>
      </c>
    </row>
    <row r="14" spans="1:8" ht="15" thickBot="1" x14ac:dyDescent="0.35">
      <c r="A14" s="14">
        <v>8.23</v>
      </c>
      <c r="E14" s="32" t="s">
        <v>72</v>
      </c>
      <c r="F14" s="33" t="s">
        <v>73</v>
      </c>
      <c r="G14" s="42">
        <v>2283.3000000000002</v>
      </c>
      <c r="H14" s="45">
        <v>8.2265979999999992</v>
      </c>
    </row>
    <row r="15" spans="1:8" ht="15" thickBot="1" x14ac:dyDescent="0.35">
      <c r="A15" s="14">
        <v>7.99</v>
      </c>
      <c r="E15" s="32" t="s">
        <v>72</v>
      </c>
      <c r="F15" s="33" t="s">
        <v>73</v>
      </c>
      <c r="G15" s="42">
        <v>2277.1999999999998</v>
      </c>
      <c r="H15" s="45">
        <v>8.2363180000000007</v>
      </c>
    </row>
    <row r="16" spans="1:8" ht="15" thickBot="1" x14ac:dyDescent="0.35">
      <c r="A16" s="14">
        <v>7.95</v>
      </c>
      <c r="E16" s="32" t="s">
        <v>72</v>
      </c>
      <c r="F16" s="33" t="s">
        <v>73</v>
      </c>
      <c r="G16" s="42">
        <v>2283</v>
      </c>
      <c r="H16" s="45">
        <v>8.2195429999999998</v>
      </c>
    </row>
    <row r="17" spans="1:8" ht="15" thickBot="1" x14ac:dyDescent="0.35">
      <c r="A17" s="33">
        <v>7.94</v>
      </c>
      <c r="E17" s="32" t="s">
        <v>72</v>
      </c>
      <c r="F17" s="33" t="s">
        <v>73</v>
      </c>
      <c r="G17" s="43">
        <v>2290.6</v>
      </c>
      <c r="H17" s="45">
        <v>8.2279149999999994</v>
      </c>
    </row>
    <row r="18" spans="1:8" ht="15" thickBot="1" x14ac:dyDescent="0.35">
      <c r="A18" s="25">
        <v>7.91</v>
      </c>
      <c r="E18" s="32" t="s">
        <v>72</v>
      </c>
      <c r="F18" s="33" t="s">
        <v>73</v>
      </c>
      <c r="G18" s="42">
        <v>2301.1</v>
      </c>
      <c r="H18" s="45">
        <v>8.2263339999999996</v>
      </c>
    </row>
    <row r="19" spans="1:8" ht="15" thickBot="1" x14ac:dyDescent="0.35">
      <c r="A19" s="14">
        <v>7.93</v>
      </c>
      <c r="E19" s="32" t="s">
        <v>72</v>
      </c>
      <c r="F19" s="33" t="s">
        <v>73</v>
      </c>
      <c r="G19" s="42">
        <v>2290</v>
      </c>
      <c r="H19" s="45">
        <v>8.2663729999999997</v>
      </c>
    </row>
    <row r="20" spans="1:8" ht="15" thickBot="1" x14ac:dyDescent="0.35">
      <c r="A20" s="14">
        <v>7.95</v>
      </c>
      <c r="E20" s="32" t="s">
        <v>72</v>
      </c>
      <c r="F20" s="33" t="s">
        <v>73</v>
      </c>
      <c r="G20" s="42">
        <v>2292.1999999999998</v>
      </c>
      <c r="H20" s="45">
        <v>8.1934939999999994</v>
      </c>
    </row>
    <row r="21" spans="1:8" ht="15" thickBot="1" x14ac:dyDescent="0.35">
      <c r="A21" s="14">
        <v>7.9</v>
      </c>
      <c r="E21" s="32" t="s">
        <v>72</v>
      </c>
      <c r="F21" s="33" t="s">
        <v>73</v>
      </c>
      <c r="G21" s="42">
        <v>2299.8000000000002</v>
      </c>
      <c r="H21" s="45">
        <v>8.2424409999999995</v>
      </c>
    </row>
    <row r="22" spans="1:8" ht="15" thickBot="1" x14ac:dyDescent="0.35">
      <c r="A22" s="14">
        <v>7.89</v>
      </c>
      <c r="E22" s="32" t="s">
        <v>72</v>
      </c>
      <c r="F22" s="33" t="s">
        <v>73</v>
      </c>
      <c r="G22" s="42">
        <v>2292.5</v>
      </c>
      <c r="H22" s="45">
        <v>8.200882</v>
      </c>
    </row>
    <row r="23" spans="1:8" ht="14.4" x14ac:dyDescent="0.3">
      <c r="A23" s="8">
        <v>7.9</v>
      </c>
    </row>
    <row r="24" spans="1:8" ht="14.4" x14ac:dyDescent="0.3">
      <c r="A24" s="14">
        <v>7.92</v>
      </c>
    </row>
    <row r="25" spans="1:8" ht="14.4" x14ac:dyDescent="0.3">
      <c r="A25" s="14">
        <v>7.94</v>
      </c>
    </row>
    <row r="26" spans="1:8" ht="14.4" x14ac:dyDescent="0.3">
      <c r="A26" s="14">
        <v>7.86</v>
      </c>
    </row>
    <row r="27" spans="1:8" ht="15" thickBot="1" x14ac:dyDescent="0.35">
      <c r="A27" s="33">
        <v>7.84</v>
      </c>
    </row>
    <row r="28" spans="1:8" ht="14.4" x14ac:dyDescent="0.3">
      <c r="A28" s="25">
        <v>7.93</v>
      </c>
    </row>
    <row r="29" spans="1:8" ht="14.4" x14ac:dyDescent="0.3">
      <c r="A29" s="14">
        <v>7.85</v>
      </c>
    </row>
    <row r="30" spans="1:8" ht="14.4" x14ac:dyDescent="0.3">
      <c r="A30" s="14">
        <v>7.96</v>
      </c>
    </row>
    <row r="31" spans="1:8" ht="14.4" x14ac:dyDescent="0.3">
      <c r="A31" s="14">
        <v>7.97</v>
      </c>
    </row>
    <row r="32" spans="1:8" ht="14.4" x14ac:dyDescent="0.3">
      <c r="A32" s="8">
        <v>7.93</v>
      </c>
    </row>
    <row r="33" spans="1:1" ht="14.4" x14ac:dyDescent="0.3">
      <c r="A33" s="14">
        <v>7.9</v>
      </c>
    </row>
    <row r="34" spans="1:1" ht="14.4" x14ac:dyDescent="0.3">
      <c r="A34" s="14">
        <v>7.91</v>
      </c>
    </row>
    <row r="35" spans="1:1" ht="14.4" x14ac:dyDescent="0.3">
      <c r="A35" s="14">
        <v>7.93</v>
      </c>
    </row>
    <row r="36" spans="1:1" ht="15" thickBot="1" x14ac:dyDescent="0.35">
      <c r="A36" s="33">
        <v>7.93</v>
      </c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BD11-EB12-466E-AC06-DD7D4089B6E1}">
  <dimension ref="A1:F35"/>
  <sheetViews>
    <sheetView topLeftCell="A13" workbookViewId="0">
      <selection activeCell="H7" sqref="H7"/>
    </sheetView>
  </sheetViews>
  <sheetFormatPr baseColWidth="10" defaultRowHeight="13.2" x14ac:dyDescent="0.25"/>
  <sheetData>
    <row r="1" spans="1:6" ht="15" thickBot="1" x14ac:dyDescent="0.35">
      <c r="A1" s="21" t="s">
        <v>0</v>
      </c>
      <c r="B1" s="22" t="s">
        <v>1</v>
      </c>
      <c r="C1" s="22" t="s">
        <v>66</v>
      </c>
      <c r="D1" s="40" t="s">
        <v>71</v>
      </c>
      <c r="E1" s="44" t="s">
        <v>75</v>
      </c>
      <c r="F1" s="22" t="s">
        <v>8</v>
      </c>
    </row>
    <row r="2" spans="1:6" ht="15.6" x14ac:dyDescent="0.3">
      <c r="A2" s="24" t="s">
        <v>11</v>
      </c>
      <c r="B2" s="25" t="s">
        <v>12</v>
      </c>
      <c r="C2" s="28">
        <v>2041.2653880931346</v>
      </c>
      <c r="D2" s="42">
        <v>2334.6</v>
      </c>
      <c r="E2" s="45">
        <v>8.1309810000000002</v>
      </c>
      <c r="F2" s="25">
        <v>5.88</v>
      </c>
    </row>
    <row r="3" spans="1:6" ht="15.6" x14ac:dyDescent="0.3">
      <c r="A3" s="30" t="s">
        <v>11</v>
      </c>
      <c r="B3" s="14" t="s">
        <v>12</v>
      </c>
      <c r="C3" s="19">
        <v>2064.7680694168789</v>
      </c>
      <c r="D3" s="42">
        <v>2339.6999999999998</v>
      </c>
      <c r="E3" s="45">
        <v>8.0958199999999998</v>
      </c>
      <c r="F3" s="14">
        <v>5.36</v>
      </c>
    </row>
    <row r="4" spans="1:6" ht="15.6" x14ac:dyDescent="0.3">
      <c r="A4" s="30" t="s">
        <v>11</v>
      </c>
      <c r="B4" s="14" t="s">
        <v>12</v>
      </c>
      <c r="C4" s="19">
        <v>2031.3457229158591</v>
      </c>
      <c r="D4" s="42">
        <v>2325.6999999999998</v>
      </c>
      <c r="E4" s="45">
        <v>8.1374209999999998</v>
      </c>
      <c r="F4" s="14">
        <v>5.96</v>
      </c>
    </row>
    <row r="5" spans="1:6" ht="15.6" x14ac:dyDescent="0.3">
      <c r="A5" s="31" t="s">
        <v>11</v>
      </c>
      <c r="B5" s="3" t="s">
        <v>12</v>
      </c>
      <c r="C5" s="20">
        <v>2054.3121265025752</v>
      </c>
      <c r="D5" s="42">
        <v>2343.4</v>
      </c>
      <c r="E5" s="45">
        <v>8.123564</v>
      </c>
      <c r="F5" s="3">
        <v>5.67</v>
      </c>
    </row>
    <row r="6" spans="1:6" ht="15.6" x14ac:dyDescent="0.3">
      <c r="A6" s="30" t="s">
        <v>11</v>
      </c>
      <c r="B6" s="14" t="s">
        <v>12</v>
      </c>
      <c r="C6" s="17">
        <v>2088.0187693722582</v>
      </c>
      <c r="D6" s="42">
        <v>2345</v>
      </c>
      <c r="E6" s="45">
        <v>8.060943</v>
      </c>
      <c r="F6" s="14">
        <v>5.48</v>
      </c>
    </row>
    <row r="7" spans="1:6" ht="15.6" x14ac:dyDescent="0.3">
      <c r="A7" s="30" t="s">
        <v>11</v>
      </c>
      <c r="B7" s="14" t="s">
        <v>12</v>
      </c>
      <c r="C7" s="19">
        <v>2078.3950335700583</v>
      </c>
      <c r="D7" s="42">
        <v>2340.1999999999998</v>
      </c>
      <c r="E7" s="45">
        <v>8.0757429999999992</v>
      </c>
      <c r="F7" s="14">
        <v>5.47</v>
      </c>
    </row>
    <row r="8" spans="1:6" ht="15.6" x14ac:dyDescent="0.3">
      <c r="A8" s="30" t="s">
        <v>11</v>
      </c>
      <c r="B8" s="14" t="s">
        <v>12</v>
      </c>
      <c r="C8" s="19">
        <v>2029.0737561510784</v>
      </c>
      <c r="D8" s="42">
        <v>2332.1</v>
      </c>
      <c r="E8" s="45">
        <v>8.1529779999999992</v>
      </c>
      <c r="F8" s="14">
        <v>6.09</v>
      </c>
    </row>
    <row r="9" spans="1:6" ht="16.2" thickBot="1" x14ac:dyDescent="0.35">
      <c r="A9" s="32" t="s">
        <v>11</v>
      </c>
      <c r="B9" s="33" t="s">
        <v>12</v>
      </c>
      <c r="C9" s="36">
        <v>2013.6717291678406</v>
      </c>
      <c r="D9" s="42">
        <v>2316.8000000000002</v>
      </c>
      <c r="E9" s="45">
        <v>8.1575469999999992</v>
      </c>
      <c r="F9" s="33">
        <v>6.35</v>
      </c>
    </row>
    <row r="10" spans="1:6" ht="16.2" thickBot="1" x14ac:dyDescent="0.35">
      <c r="A10" s="32" t="s">
        <v>11</v>
      </c>
      <c r="B10" s="33" t="s">
        <v>73</v>
      </c>
      <c r="C10" s="38">
        <v>1995.4373978077426</v>
      </c>
      <c r="D10" s="42">
        <v>2331.4</v>
      </c>
      <c r="E10" s="45">
        <v>8.1981809999999999</v>
      </c>
      <c r="F10" s="25">
        <v>6.82</v>
      </c>
    </row>
    <row r="11" spans="1:6" ht="16.2" thickBot="1" x14ac:dyDescent="0.35">
      <c r="A11" s="32" t="s">
        <v>11</v>
      </c>
      <c r="B11" s="33" t="s">
        <v>73</v>
      </c>
      <c r="C11" s="19">
        <v>1983.9248828210286</v>
      </c>
      <c r="D11" s="42">
        <v>2319.4</v>
      </c>
      <c r="E11" s="45">
        <v>8.1963519999999992</v>
      </c>
      <c r="F11" s="14">
        <v>8.07</v>
      </c>
    </row>
    <row r="12" spans="1:6" ht="16.2" thickBot="1" x14ac:dyDescent="0.35">
      <c r="A12" s="32" t="s">
        <v>11</v>
      </c>
      <c r="B12" s="33" t="s">
        <v>73</v>
      </c>
      <c r="C12" s="19">
        <v>2007.7905995672613</v>
      </c>
      <c r="D12" s="42">
        <v>2323</v>
      </c>
      <c r="E12" s="45">
        <v>8.1682059999999996</v>
      </c>
      <c r="F12" s="14">
        <v>6.87</v>
      </c>
    </row>
    <row r="13" spans="1:6" ht="16.2" thickBot="1" x14ac:dyDescent="0.35">
      <c r="A13" s="32" t="s">
        <v>11</v>
      </c>
      <c r="B13" s="33" t="s">
        <v>73</v>
      </c>
      <c r="C13" s="7">
        <v>1966.1485007858666</v>
      </c>
      <c r="D13" s="42">
        <v>2320.1</v>
      </c>
      <c r="E13" s="45">
        <v>8.2316950000000002</v>
      </c>
      <c r="F13" s="3">
        <v>7.5</v>
      </c>
    </row>
    <row r="14" spans="1:6" ht="16.2" thickBot="1" x14ac:dyDescent="0.35">
      <c r="A14" s="32" t="s">
        <v>11</v>
      </c>
      <c r="B14" s="33" t="s">
        <v>73</v>
      </c>
      <c r="C14" s="19">
        <v>1949.4835903515841</v>
      </c>
      <c r="D14" s="42">
        <v>2316.6999999999998</v>
      </c>
      <c r="E14" s="45">
        <v>8.2455390000000008</v>
      </c>
      <c r="F14" s="14">
        <v>8.1999999999999993</v>
      </c>
    </row>
    <row r="15" spans="1:6" ht="16.2" thickBot="1" x14ac:dyDescent="0.35">
      <c r="A15" s="32" t="s">
        <v>11</v>
      </c>
      <c r="B15" s="33" t="s">
        <v>73</v>
      </c>
      <c r="C15" s="19">
        <v>1952.3559897214284</v>
      </c>
      <c r="D15" s="42">
        <v>2319.1</v>
      </c>
      <c r="E15" s="45">
        <v>8.2499040000000008</v>
      </c>
      <c r="F15" s="14">
        <v>8.25</v>
      </c>
    </row>
    <row r="16" spans="1:6" ht="16.2" thickBot="1" x14ac:dyDescent="0.35">
      <c r="A16" s="32" t="s">
        <v>11</v>
      </c>
      <c r="B16" s="33" t="s">
        <v>73</v>
      </c>
      <c r="C16" s="17">
        <v>2017.1116583758385</v>
      </c>
      <c r="D16" s="42">
        <v>2323.8000000000002</v>
      </c>
      <c r="E16" s="45">
        <v>8.1556440000000006</v>
      </c>
      <c r="F16" s="14">
        <v>6.56</v>
      </c>
    </row>
    <row r="17" spans="1:6" ht="16.2" thickBot="1" x14ac:dyDescent="0.35">
      <c r="A17" s="32" t="s">
        <v>11</v>
      </c>
      <c r="B17" s="33" t="s">
        <v>73</v>
      </c>
      <c r="C17" s="36">
        <v>1967.931900555654</v>
      </c>
      <c r="D17" s="42">
        <v>2314.9</v>
      </c>
      <c r="E17" s="45">
        <v>8.2202909999999996</v>
      </c>
      <c r="F17" s="33">
        <v>7.5</v>
      </c>
    </row>
    <row r="18" spans="1:6" ht="16.2" thickBot="1" x14ac:dyDescent="0.35">
      <c r="A18" s="32" t="s">
        <v>72</v>
      </c>
      <c r="B18" s="33" t="s">
        <v>12</v>
      </c>
      <c r="C18" s="19">
        <v>2021.4954134233765</v>
      </c>
      <c r="D18" s="42">
        <v>2305.4</v>
      </c>
      <c r="E18" s="45">
        <v>8.1199460000000006</v>
      </c>
      <c r="F18" s="14">
        <v>5.88</v>
      </c>
    </row>
    <row r="19" spans="1:6" ht="16.2" thickBot="1" x14ac:dyDescent="0.35">
      <c r="A19" s="32" t="s">
        <v>72</v>
      </c>
      <c r="B19" s="33" t="s">
        <v>12</v>
      </c>
      <c r="C19" s="19">
        <v>2030.7324156143534</v>
      </c>
      <c r="D19" s="42">
        <v>2308</v>
      </c>
      <c r="E19" s="45">
        <v>8.0711359999999992</v>
      </c>
      <c r="F19" s="14">
        <v>5.72</v>
      </c>
    </row>
    <row r="20" spans="1:6" ht="16.2" thickBot="1" x14ac:dyDescent="0.35">
      <c r="A20" s="32" t="s">
        <v>72</v>
      </c>
      <c r="B20" s="33" t="s">
        <v>12</v>
      </c>
      <c r="C20" s="19">
        <v>2059.028703954973</v>
      </c>
      <c r="D20" s="42">
        <v>2309.4</v>
      </c>
      <c r="E20" s="45">
        <v>8.0782889999999998</v>
      </c>
      <c r="F20" s="14">
        <v>5.0999999999999996</v>
      </c>
    </row>
    <row r="21" spans="1:6" ht="16.2" thickBot="1" x14ac:dyDescent="0.35">
      <c r="A21" s="32" t="s">
        <v>72</v>
      </c>
      <c r="B21" s="33" t="s">
        <v>12</v>
      </c>
      <c r="C21" s="17">
        <v>2050.8481005679714</v>
      </c>
      <c r="D21" s="42">
        <v>2306.6</v>
      </c>
      <c r="E21" s="45">
        <v>8.0973670000000002</v>
      </c>
      <c r="F21" s="14">
        <v>5.29</v>
      </c>
    </row>
    <row r="22" spans="1:6" ht="16.2" thickBot="1" x14ac:dyDescent="0.35">
      <c r="A22" s="32" t="s">
        <v>72</v>
      </c>
      <c r="B22" s="33" t="s">
        <v>12</v>
      </c>
      <c r="C22" s="11">
        <v>2053.349851254844</v>
      </c>
      <c r="D22" s="42">
        <v>2318.1999999999998</v>
      </c>
      <c r="E22" s="45">
        <v>8.0644910000000003</v>
      </c>
      <c r="F22" s="8">
        <v>5.56</v>
      </c>
    </row>
    <row r="23" spans="1:6" ht="16.2" thickBot="1" x14ac:dyDescent="0.35">
      <c r="A23" s="32" t="s">
        <v>72</v>
      </c>
      <c r="B23" s="33" t="s">
        <v>12</v>
      </c>
      <c r="C23" s="19">
        <v>2057.4101520981772</v>
      </c>
      <c r="D23" s="42">
        <v>2306.1999999999998</v>
      </c>
      <c r="E23" s="45">
        <v>8.1021300000000007</v>
      </c>
      <c r="F23" s="14">
        <v>5.56</v>
      </c>
    </row>
    <row r="24" spans="1:6" ht="16.2" thickBot="1" x14ac:dyDescent="0.35">
      <c r="A24" s="32" t="s">
        <v>72</v>
      </c>
      <c r="B24" s="33" t="s">
        <v>12</v>
      </c>
      <c r="C24" s="19">
        <v>2034.9701226072086</v>
      </c>
      <c r="D24" s="42">
        <v>2304.1999999999998</v>
      </c>
      <c r="E24" s="45">
        <v>8.0884260000000001</v>
      </c>
      <c r="F24" s="14">
        <v>5.74</v>
      </c>
    </row>
    <row r="25" spans="1:6" ht="16.2" thickBot="1" x14ac:dyDescent="0.35">
      <c r="A25" s="32" t="s">
        <v>72</v>
      </c>
      <c r="B25" s="33" t="s">
        <v>12</v>
      </c>
      <c r="C25" s="19">
        <v>2034.952812959423</v>
      </c>
      <c r="D25" s="42">
        <v>2294</v>
      </c>
      <c r="E25" s="45">
        <v>8.0850209999999993</v>
      </c>
      <c r="F25" s="14">
        <v>5.53</v>
      </c>
    </row>
    <row r="26" spans="1:6" ht="16.2" thickBot="1" x14ac:dyDescent="0.35">
      <c r="A26" s="32" t="s">
        <v>72</v>
      </c>
      <c r="B26" s="33" t="s">
        <v>12</v>
      </c>
      <c r="C26" s="39">
        <v>2042.1313975499581</v>
      </c>
      <c r="D26" s="42">
        <v>2301.5</v>
      </c>
      <c r="E26" s="45">
        <v>8.2265979999999992</v>
      </c>
      <c r="F26" s="33">
        <v>5.7</v>
      </c>
    </row>
    <row r="27" spans="1:6" ht="16.2" thickBot="1" x14ac:dyDescent="0.35">
      <c r="A27" s="32" t="s">
        <v>72</v>
      </c>
      <c r="B27" s="33" t="s">
        <v>73</v>
      </c>
      <c r="C27" s="38">
        <v>1939.9354670486653</v>
      </c>
      <c r="D27" s="42">
        <v>2283.3000000000002</v>
      </c>
      <c r="E27" s="45">
        <v>8.2363180000000007</v>
      </c>
      <c r="F27" s="25">
        <v>7.82</v>
      </c>
    </row>
    <row r="28" spans="1:6" ht="16.2" thickBot="1" x14ac:dyDescent="0.35">
      <c r="A28" s="32" t="s">
        <v>72</v>
      </c>
      <c r="B28" s="33" t="s">
        <v>73</v>
      </c>
      <c r="C28" s="19">
        <v>1930.4619007356464</v>
      </c>
      <c r="D28" s="42">
        <v>2277.1999999999998</v>
      </c>
      <c r="E28" s="45">
        <v>8.2195429999999998</v>
      </c>
      <c r="F28" s="14">
        <v>7.94</v>
      </c>
    </row>
    <row r="29" spans="1:6" ht="16.2" thickBot="1" x14ac:dyDescent="0.35">
      <c r="A29" s="32" t="s">
        <v>72</v>
      </c>
      <c r="B29" s="33" t="s">
        <v>73</v>
      </c>
      <c r="C29" s="19">
        <v>1946.0051797048613</v>
      </c>
      <c r="D29" s="42">
        <v>2283</v>
      </c>
      <c r="E29" s="45">
        <v>8.2279149999999994</v>
      </c>
      <c r="F29" s="14">
        <v>7.65</v>
      </c>
    </row>
    <row r="30" spans="1:6" ht="16.2" thickBot="1" x14ac:dyDescent="0.35">
      <c r="A30" s="32" t="s">
        <v>72</v>
      </c>
      <c r="B30" s="33" t="s">
        <v>73</v>
      </c>
      <c r="C30" s="17">
        <v>1946.3615032546547</v>
      </c>
      <c r="D30" s="43">
        <v>2290.6</v>
      </c>
      <c r="E30" s="45">
        <v>8.2263339999999996</v>
      </c>
      <c r="F30" s="14">
        <v>7.61</v>
      </c>
    </row>
    <row r="31" spans="1:6" ht="16.2" thickBot="1" x14ac:dyDescent="0.35">
      <c r="A31" s="32" t="s">
        <v>72</v>
      </c>
      <c r="B31" s="33" t="s">
        <v>73</v>
      </c>
      <c r="C31" s="13">
        <v>1958.6157532072875</v>
      </c>
      <c r="D31" s="42">
        <v>2301.1</v>
      </c>
      <c r="E31" s="45">
        <v>8.2663729999999997</v>
      </c>
      <c r="F31" s="8">
        <v>7.5</v>
      </c>
    </row>
    <row r="32" spans="1:6" ht="16.2" thickBot="1" x14ac:dyDescent="0.35">
      <c r="A32" s="32" t="s">
        <v>72</v>
      </c>
      <c r="B32" s="33" t="s">
        <v>73</v>
      </c>
      <c r="C32" s="19">
        <v>1923.9587615549945</v>
      </c>
      <c r="D32" s="42">
        <v>2290</v>
      </c>
      <c r="E32" s="45">
        <v>8.1934939999999994</v>
      </c>
      <c r="F32" s="14">
        <v>7.8</v>
      </c>
    </row>
    <row r="33" spans="1:6" ht="16.2" thickBot="1" x14ac:dyDescent="0.35">
      <c r="A33" s="32" t="s">
        <v>72</v>
      </c>
      <c r="B33" s="33" t="s">
        <v>73</v>
      </c>
      <c r="C33" s="19">
        <v>1967.4237546207091</v>
      </c>
      <c r="D33" s="42">
        <v>2292.1999999999998</v>
      </c>
      <c r="E33" s="45">
        <v>8.2424409999999995</v>
      </c>
      <c r="F33" s="14">
        <v>7.84</v>
      </c>
    </row>
    <row r="34" spans="1:6" ht="16.2" thickBot="1" x14ac:dyDescent="0.35">
      <c r="A34" s="32" t="s">
        <v>72</v>
      </c>
      <c r="B34" s="33" t="s">
        <v>73</v>
      </c>
      <c r="C34" s="19">
        <v>1950.54771366823</v>
      </c>
      <c r="D34" s="42">
        <v>2299.8000000000002</v>
      </c>
      <c r="E34" s="45">
        <v>8.200882</v>
      </c>
      <c r="F34" s="14">
        <v>7.4</v>
      </c>
    </row>
    <row r="35" spans="1:6" ht="16.2" thickBot="1" x14ac:dyDescent="0.35">
      <c r="A35" s="32" t="s">
        <v>72</v>
      </c>
      <c r="B35" s="33" t="s">
        <v>73</v>
      </c>
      <c r="C35" s="36">
        <v>1967.0055256554988</v>
      </c>
      <c r="D35" s="42">
        <v>2292.5</v>
      </c>
      <c r="E35" s="45">
        <v>8.200882</v>
      </c>
      <c r="F35" s="33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Hoja2</vt:lpstr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CatherinePHR</dc:creator>
  <cp:lastModifiedBy>catherine.hernandez2@upr.edu</cp:lastModifiedBy>
  <dcterms:created xsi:type="dcterms:W3CDTF">2023-10-23T21:10:38Z</dcterms:created>
  <dcterms:modified xsi:type="dcterms:W3CDTF">2024-07-23T17:28:01Z</dcterms:modified>
</cp:coreProperties>
</file>